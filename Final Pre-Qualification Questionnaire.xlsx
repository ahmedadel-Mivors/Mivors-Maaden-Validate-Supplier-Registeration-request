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ipath project\Mivors-Maaden-Edit- CR Change request\Mivors-Maaden-Edit- CR Change request\"/>
    </mc:Choice>
  </mc:AlternateContent>
  <bookViews>
    <workbookView xWindow="0" yWindow="0" windowWidth="23040" windowHeight="9072" activeTab="6"/>
  </bookViews>
  <sheets>
    <sheet name="Materials Supplier" sheetId="5" r:id="rId1"/>
    <sheet name="Services Provider" sheetId="6" r:id="rId2"/>
    <sheet name="Project" sheetId="7" r:id="rId3"/>
    <sheet name="Training" sheetId="8" r:id="rId4"/>
    <sheet name="SME" sheetId="9" r:id="rId5"/>
    <sheet name="Manufacturer " sheetId="12" r:id="rId6"/>
    <sheet name="Consultant" sheetId="11" r:id="rId7"/>
    <sheet name="IT and Software Service" sheetId="14" r:id="rId8"/>
    <sheet name="Serv and Mate provider" sheetId="17" r:id="rId9"/>
    <sheet name="Scores Each Types" sheetId="16" r:id="rId10"/>
    <sheet name="Sample Scores" sheetId="2" r:id="rId1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4" l="1"/>
  <c r="D7" i="11"/>
  <c r="D8" i="12"/>
  <c r="D7" i="9"/>
  <c r="D7" i="8"/>
  <c r="D9" i="7"/>
  <c r="D8" i="6"/>
  <c r="D8" i="5"/>
  <c r="F5" i="7"/>
  <c r="E19" i="5"/>
  <c r="D19" i="5"/>
  <c r="F18" i="5"/>
  <c r="F17" i="5"/>
  <c r="F16" i="5"/>
  <c r="F15" i="5"/>
  <c r="F14" i="5"/>
  <c r="F13" i="5"/>
  <c r="F12" i="5"/>
  <c r="E19" i="6"/>
  <c r="D19" i="6"/>
  <c r="F18" i="6"/>
  <c r="F17" i="6"/>
  <c r="F16" i="6"/>
  <c r="F15" i="6"/>
  <c r="F14" i="6"/>
  <c r="F13" i="6"/>
  <c r="F12" i="6"/>
  <c r="E21" i="7"/>
  <c r="F20" i="7"/>
  <c r="F19" i="7"/>
  <c r="F18" i="7"/>
  <c r="D21" i="7"/>
  <c r="F17" i="7"/>
  <c r="F16" i="7"/>
  <c r="F15" i="7"/>
  <c r="F14" i="7"/>
  <c r="E15" i="8"/>
  <c r="D15" i="8"/>
  <c r="F14" i="8"/>
  <c r="F13" i="8"/>
  <c r="F12" i="8"/>
  <c r="F11" i="8"/>
  <c r="E16" i="9"/>
  <c r="D16" i="9"/>
  <c r="F15" i="9"/>
  <c r="F14" i="9"/>
  <c r="F13" i="9"/>
  <c r="F12" i="9"/>
  <c r="G16" i="11"/>
  <c r="F16" i="11"/>
  <c r="H15" i="11"/>
  <c r="H14" i="11"/>
  <c r="H13" i="11"/>
  <c r="H12" i="11"/>
  <c r="H11" i="11"/>
  <c r="F18" i="12"/>
  <c r="E19" i="12"/>
  <c r="F13" i="12"/>
  <c r="F14" i="12"/>
  <c r="F15" i="12"/>
  <c r="F16" i="12"/>
  <c r="F17" i="12"/>
  <c r="F12" i="12"/>
  <c r="D19" i="12"/>
  <c r="F13" i="14"/>
  <c r="F14" i="14"/>
  <c r="F15" i="14"/>
  <c r="F16" i="14"/>
  <c r="F12" i="14"/>
  <c r="E17" i="14"/>
  <c r="D17" i="14"/>
  <c r="E7" i="14"/>
  <c r="F21" i="7" l="1"/>
  <c r="F15" i="8"/>
  <c r="F17" i="14"/>
  <c r="F19" i="5"/>
  <c r="F19" i="6"/>
  <c r="F16" i="9"/>
  <c r="H16" i="11"/>
  <c r="F19" i="12"/>
  <c r="F6" i="12"/>
  <c r="F5" i="12"/>
  <c r="F7" i="12"/>
  <c r="F4" i="12"/>
  <c r="F2" i="12"/>
  <c r="F3" i="12"/>
  <c r="F5" i="9"/>
  <c r="F2" i="9"/>
  <c r="F3" i="9"/>
  <c r="F6" i="8"/>
  <c r="F4" i="8"/>
  <c r="F2" i="8"/>
  <c r="F3" i="8"/>
  <c r="F7" i="7"/>
  <c r="F6" i="7"/>
  <c r="F8" i="7"/>
  <c r="F4" i="7"/>
  <c r="F2" i="7"/>
  <c r="F3" i="7"/>
  <c r="F7" i="6"/>
  <c r="F6" i="6"/>
  <c r="F5" i="6"/>
  <c r="F2" i="6"/>
  <c r="F3" i="6"/>
  <c r="F7" i="5"/>
  <c r="F6" i="5"/>
  <c r="F5" i="5"/>
  <c r="F3" i="5"/>
  <c r="F2" i="5"/>
  <c r="F8" i="5" l="1"/>
  <c r="F9" i="7"/>
  <c r="F8" i="12"/>
  <c r="F7" i="9"/>
  <c r="F7" i="8"/>
  <c r="F8" i="6"/>
</calcChain>
</file>

<file path=xl/sharedStrings.xml><?xml version="1.0" encoding="utf-8"?>
<sst xmlns="http://schemas.openxmlformats.org/spreadsheetml/2006/main" count="395" uniqueCount="99">
  <si>
    <t>Question</t>
  </si>
  <si>
    <t>Response</t>
  </si>
  <si>
    <t>Weightage (%)</t>
  </si>
  <si>
    <t>Weighted Score</t>
  </si>
  <si>
    <t>Remarks</t>
  </si>
  <si>
    <t>Yes</t>
  </si>
  <si>
    <t>Verified documents.</t>
  </si>
  <si>
    <t>Meets the minimum limit.</t>
  </si>
  <si>
    <t>No</t>
  </si>
  <si>
    <t>Lacks sustainability plan.</t>
  </si>
  <si>
    <t>Major clients served</t>
  </si>
  <si>
    <t>List provided</t>
  </si>
  <si>
    <t>Includes reputable firms.</t>
  </si>
  <si>
    <t>Annual turnover (in SAR)</t>
  </si>
  <si>
    <t>Mandatory to submit</t>
  </si>
  <si>
    <t>Answer</t>
  </si>
  <si>
    <t>Mandatory / Optional</t>
  </si>
  <si>
    <t>Weightage</t>
  </si>
  <si>
    <t>Score (input)</t>
  </si>
  <si>
    <t>Total</t>
  </si>
  <si>
    <t>Attachment related to Questios</t>
  </si>
  <si>
    <t>Score (1-10)</t>
  </si>
  <si>
    <t>ISO</t>
  </si>
  <si>
    <t>Quality ISO</t>
  </si>
  <si>
    <t>ESG</t>
  </si>
  <si>
    <t>Meets the requirement</t>
  </si>
  <si>
    <t>Outcome</t>
  </si>
  <si>
    <t>Disqualified</t>
  </si>
  <si>
    <t>Cybersecurity (e.g., ISO 27001)</t>
  </si>
  <si>
    <t>IT services list</t>
  </si>
  <si>
    <t>Are you prequalified ?</t>
  </si>
  <si>
    <t>Specific IT services and technologies</t>
  </si>
  <si>
    <t>Attachement uploaded</t>
  </si>
  <si>
    <t>Yes, uploaded</t>
  </si>
  <si>
    <t>Qualified</t>
  </si>
  <si>
    <t>Docs attached</t>
  </si>
  <si>
    <t>Doc provided</t>
  </si>
  <si>
    <t>Yes, Doc provided</t>
  </si>
  <si>
    <t>List not provided</t>
  </si>
  <si>
    <t>150 ,Doc provided</t>
  </si>
  <si>
    <t>list Provided</t>
  </si>
  <si>
    <t>Supplier Type</t>
  </si>
  <si>
    <t>Business</t>
  </si>
  <si>
    <t>Finance</t>
  </si>
  <si>
    <t>Organization</t>
  </si>
  <si>
    <t>SCM</t>
  </si>
  <si>
    <t>Capability</t>
  </si>
  <si>
    <t>Customer Base</t>
  </si>
  <si>
    <t>Customer Feedback</t>
  </si>
  <si>
    <t xml:space="preserve">Material Supplier </t>
  </si>
  <si>
    <t>Material Supplier &amp; Service Provder</t>
  </si>
  <si>
    <t>Service Provider</t>
  </si>
  <si>
    <t>Project Contractor</t>
  </si>
  <si>
    <t>Training</t>
  </si>
  <si>
    <t>Consultant</t>
  </si>
  <si>
    <t>SME remote Area</t>
  </si>
  <si>
    <t>Manufacturer</t>
  </si>
  <si>
    <t>IT and Software Service</t>
  </si>
  <si>
    <t>Quality Management</t>
  </si>
  <si>
    <t>EHSS</t>
  </si>
  <si>
    <t>Risk Management</t>
  </si>
  <si>
    <t>Please attach your company’s latest audited financial statements for the past year. Additionally, select one of the profitability options given below.</t>
  </si>
  <si>
    <t>Please attach quality management certifications</t>
  </si>
  <si>
    <t>Please attach a list of the products you offer in your company’s official letterhead, signed and stamped</t>
  </si>
  <si>
    <t>Please attach your company’s latest audited financial statements or annual reports and bank statements for the past year. Additionally, select one of the profitability options given below.</t>
  </si>
  <si>
    <t>Please attach your company’s latest audited financial statements or annual reports and last Six Months bank statements. Additionally, select one of the profitability options given below.</t>
  </si>
  <si>
    <t>Not profitable in last 2 years / Profitable</t>
  </si>
  <si>
    <t>Proitable or Not Profitable</t>
  </si>
  <si>
    <t>Revision</t>
  </si>
  <si>
    <t>Scoring</t>
  </si>
  <si>
    <t>Weight</t>
  </si>
  <si>
    <t>Knockout Score</t>
  </si>
  <si>
    <t>Question Text</t>
  </si>
  <si>
    <t>Status</t>
  </si>
  <si>
    <t>Question Level</t>
  </si>
  <si>
    <t>Responder Type</t>
  </si>
  <si>
    <t>Financial Statement for the past year</t>
  </si>
  <si>
    <t>Automatic</t>
  </si>
  <si>
    <t>Active</t>
  </si>
  <si>
    <t>Supplier</t>
  </si>
  <si>
    <t>Code of ethics or conduct</t>
  </si>
  <si>
    <t>Please attach your company documented code of ethics or conduct</t>
  </si>
  <si>
    <t>Quality Management Certifications</t>
  </si>
  <si>
    <t>List of the products or services</t>
  </si>
  <si>
    <t>Please attach a list of the products or services you offer in your company’s official letterhead, signed and stamped</t>
  </si>
  <si>
    <t>Prequalified with any other Organization</t>
  </si>
  <si>
    <t>Are you prequalified with any other organizations within or outside of KSA? Please attach a copy of the vendor registration approval letter or email approval from the registered company</t>
  </si>
  <si>
    <t>EHSS regulations</t>
  </si>
  <si>
    <t>Please attach a list of the consultation service you offer in your company’s official letterhead, signed and stamped</t>
  </si>
  <si>
    <t>Please attach a professional certificate accredited by Government Authority</t>
  </si>
  <si>
    <t>Please attach a list of the Services you offer on your company’s official letterhead, signed and stamped</t>
  </si>
  <si>
    <t>Is your company operations compliant with local and international EHSS regulations? Please attach copy of certificate</t>
  </si>
  <si>
    <t>Please attach your company’s latest audited financial statements for the last three years. Additionally, select one of the profitability options given below</t>
  </si>
  <si>
    <t>Can you list some of the projects you have completed in the last two years in your company official letter head signed and stamped</t>
  </si>
  <si>
    <t>Please attach your company org chart showing responsibilities</t>
  </si>
  <si>
    <t>Please attach a list of the Training  you offer in your company’s official letterhead, signed and stamped</t>
  </si>
  <si>
    <t>Is your company accredited by any recognized training or certification bodies? Pls attach a professional certificate</t>
  </si>
  <si>
    <t>Please attach details about the products and services related to OEM or partnership with your company</t>
  </si>
  <si>
    <t>What specific IT services and technologies does your company specialize in (e.g., cloud computing, cybersecurity, software development)? Please attach a list on your company’s official letterhead, signed and stamped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</si>
</sst>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#"/>
  </numFmts>
  <fonts count="3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b/>
      <sz val="13.5"/>
      <color rgb="FF000000"/>
      <name val="Times New Roman"/>
      <family val="1"/>
    </font>
    <font>
      <sz val="13.5"/>
      <color rgb="FF000000"/>
      <name val="Times New Roman"/>
      <family val="1"/>
    </font>
    <font>
      <sz val="12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b/>
      <sz val="12"/>
      <color rgb="FF000000"/>
      <name val="Times New Roman"/>
      <family val="1"/>
    </font>
    <font>
      <sz val="12"/>
      <color rgb="FF000000"/>
      <name val="Aptos"/>
      <family val="2"/>
    </font>
    <font>
      <sz val="11"/>
      <color theme="1"/>
      <name val="Aptos Narrow"/>
      <family val="2"/>
      <scheme val="minor"/>
    </font>
    <font>
      <sz val="11"/>
      <color rgb="FF111111"/>
      <name val="Segoe UI"/>
      <family val="2"/>
    </font>
    <font>
      <sz val="12"/>
      <color theme="1"/>
      <name val="Aptos"/>
      <family val="2"/>
    </font>
    <font>
      <b/>
      <sz val="12"/>
      <color rgb="FFFFFFFF"/>
      <name val="Aptos"/>
      <family val="2"/>
    </font>
    <font>
      <sz val="11"/>
      <color theme="1"/>
      <name val="Aptos Display"/>
      <family val="2"/>
      <scheme val="major"/>
    </font>
    <font>
      <sz val="11"/>
      <color rgb="FF000000"/>
      <name val="Aptos"/>
      <family val="2"/>
    </font>
    <font>
      <sz val="10"/>
      <color theme="1"/>
      <name val="Aptos Display"/>
      <family val="2"/>
      <scheme val="major"/>
    </font>
    <font>
      <b/>
      <sz val="14"/>
      <color theme="1"/>
      <name val="Aptos Display"/>
      <family val="2"/>
      <scheme val="maj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8A567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0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21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2" fillId="6" borderId="0" applyNumberFormat="0" applyBorder="0" applyAlignment="0" applyProtection="0"/>
    <xf numFmtId="0" fontId="23" fillId="7" borderId="0" applyNumberFormat="0" applyBorder="0" applyAlignment="0" applyProtection="0"/>
    <xf numFmtId="0" fontId="24" fillId="8" borderId="0" applyNumberFormat="0" applyBorder="0" applyAlignment="0" applyProtection="0"/>
    <xf numFmtId="0" fontId="25" fillId="9" borderId="10" applyNumberFormat="0" applyAlignment="0" applyProtection="0"/>
    <xf numFmtId="0" fontId="26" fillId="10" borderId="11" applyNumberFormat="0" applyAlignment="0" applyProtection="0"/>
    <xf numFmtId="0" fontId="27" fillId="10" borderId="10" applyNumberFormat="0" applyAlignment="0" applyProtection="0"/>
    <xf numFmtId="0" fontId="28" fillId="0" borderId="12" applyNumberFormat="0" applyFill="0" applyAlignment="0" applyProtection="0"/>
    <xf numFmtId="0" fontId="29" fillId="11" borderId="13" applyNumberFormat="0" applyAlignment="0" applyProtection="0"/>
    <xf numFmtId="0" fontId="30" fillId="0" borderId="0" applyNumberFormat="0" applyFill="0" applyBorder="0" applyAlignment="0" applyProtection="0"/>
    <xf numFmtId="0" fontId="10" fillId="12" borderId="14" applyNumberFormat="0" applyFont="0" applyAlignment="0" applyProtection="0"/>
    <xf numFmtId="0" fontId="31" fillId="0" borderId="0" applyNumberFormat="0" applyFill="0" applyBorder="0" applyAlignment="0" applyProtection="0"/>
    <xf numFmtId="0" fontId="1" fillId="0" borderId="15" applyNumberFormat="0" applyFill="0" applyAlignment="0" applyProtection="0"/>
    <xf numFmtId="0" fontId="32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32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32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32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32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32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</cellStyleXfs>
  <cellXfs count="84">
    <xf numFmtId="0" fontId="0" fillId="0" borderId="0" xfId="0"/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9" fontId="2" fillId="0" borderId="1" xfId="0" applyNumberFormat="1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left" vertical="top"/>
    </xf>
    <xf numFmtId="9" fontId="12" fillId="0" borderId="4" xfId="1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9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wrapText="1"/>
    </xf>
    <xf numFmtId="0" fontId="15" fillId="0" borderId="1" xfId="0" applyFont="1" applyBorder="1" applyAlignment="1">
      <alignment vertical="top" wrapText="1"/>
    </xf>
    <xf numFmtId="0" fontId="14" fillId="0" borderId="1" xfId="0" applyFont="1" applyBorder="1" applyAlignment="1">
      <alignment horizontal="center" vertical="center"/>
    </xf>
    <xf numFmtId="9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/>
    <xf numFmtId="0" fontId="15" fillId="0" borderId="1" xfId="0" applyFont="1" applyBorder="1" applyAlignment="1">
      <alignment vertical="center"/>
    </xf>
    <xf numFmtId="0" fontId="15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wrapText="1"/>
    </xf>
    <xf numFmtId="9" fontId="6" fillId="0" borderId="1" xfId="0" applyNumberFormat="1" applyFont="1" applyBorder="1" applyAlignment="1">
      <alignment vertical="center"/>
    </xf>
    <xf numFmtId="0" fontId="7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9" fontId="6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9" fontId="1" fillId="5" borderId="1" xfId="0" applyNumberFormat="1" applyFont="1" applyFill="1" applyBorder="1" applyAlignment="1">
      <alignment horizontal="center"/>
    </xf>
    <xf numFmtId="1" fontId="1" fillId="5" borderId="1" xfId="0" applyNumberFormat="1" applyFont="1" applyFill="1" applyBorder="1" applyAlignment="1">
      <alignment horizontal="center"/>
    </xf>
    <xf numFmtId="9" fontId="1" fillId="5" borderId="1" xfId="1" applyFont="1" applyFill="1" applyBorder="1" applyAlignment="1">
      <alignment horizontal="center"/>
    </xf>
    <xf numFmtId="0" fontId="11" fillId="0" borderId="1" xfId="0" applyFont="1" applyBorder="1"/>
    <xf numFmtId="0" fontId="7" fillId="5" borderId="1" xfId="0" applyFont="1" applyFill="1" applyBorder="1"/>
    <xf numFmtId="0" fontId="0" fillId="5" borderId="1" xfId="0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9" fontId="2" fillId="5" borderId="1" xfId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wrapText="1"/>
    </xf>
    <xf numFmtId="0" fontId="6" fillId="5" borderId="1" xfId="0" applyFont="1" applyFill="1" applyBorder="1" applyAlignment="1">
      <alignment horizontal="left" vertical="center" wrapText="1"/>
    </xf>
    <xf numFmtId="9" fontId="6" fillId="5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center" wrapText="1"/>
    </xf>
    <xf numFmtId="9" fontId="14" fillId="5" borderId="1" xfId="0" applyNumberFormat="1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center"/>
    </xf>
    <xf numFmtId="9" fontId="14" fillId="5" borderId="1" xfId="0" applyNumberFormat="1" applyFont="1" applyFill="1" applyBorder="1" applyAlignment="1">
      <alignment horizontal="center" vertical="center"/>
    </xf>
    <xf numFmtId="0" fontId="7" fillId="5" borderId="2" xfId="0" applyFont="1" applyFill="1" applyBorder="1"/>
    <xf numFmtId="0" fontId="13" fillId="5" borderId="6" xfId="0" applyFont="1" applyFill="1" applyBorder="1" applyAlignment="1">
      <alignment vertical="center" textRotation="90"/>
    </xf>
    <xf numFmtId="0" fontId="13" fillId="5" borderId="3" xfId="0" applyFont="1" applyFill="1" applyBorder="1" applyAlignment="1">
      <alignment vertical="center" textRotation="90"/>
    </xf>
    <xf numFmtId="0" fontId="13" fillId="5" borderId="5" xfId="0" applyFont="1" applyFill="1" applyBorder="1" applyAlignment="1">
      <alignment vertical="center" textRotation="90"/>
    </xf>
    <xf numFmtId="0" fontId="13" fillId="5" borderId="5" xfId="0" applyFont="1" applyFill="1" applyBorder="1" applyAlignment="1">
      <alignment horizontal="center" vertical="center" textRotation="90"/>
    </xf>
    <xf numFmtId="0" fontId="17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wrapText="1"/>
    </xf>
    <xf numFmtId="0" fontId="7" fillId="5" borderId="2" xfId="0" applyFont="1" applyFill="1" applyBorder="1" applyAlignment="1">
      <alignment horizontal="center"/>
    </xf>
    <xf numFmtId="0" fontId="33" fillId="0" borderId="1" xfId="0" applyFont="1" applyBorder="1"/>
    <xf numFmtId="3" fontId="33" fillId="0" borderId="1" xfId="0" applyNumberFormat="1" applyFont="1" applyBorder="1"/>
    <xf numFmtId="4" fontId="33" fillId="0" borderId="1" xfId="0" applyNumberFormat="1" applyFont="1" applyBorder="1"/>
    <xf numFmtId="164" fontId="33" fillId="0" borderId="1" xfId="0" applyNumberFormat="1" applyFont="1" applyBorder="1"/>
    <xf numFmtId="0" fontId="0" fillId="0" borderId="1" xfId="0" applyBorder="1"/>
    <xf numFmtId="49" fontId="33" fillId="0" borderId="1" xfId="0" applyNumberFormat="1" applyFont="1" applyBorder="1"/>
    <xf numFmtId="0" fontId="34" fillId="0" borderId="1" xfId="0" applyFont="1" applyBorder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1" defaultTableStyle="TableStyleMedium2" defaultPivotStyle="PivotStyleLight16">
    <tableStyle name="Invisible" pivot="0" table="0" count="0"/>
  </tableStyles>
  <colors>
    <mruColors>
      <color rgb="FFB8A5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zoomScale="90" zoomScaleNormal="90" workbookViewId="0">
      <selection activeCell="A3" sqref="A3"/>
    </sheetView>
  </sheetViews>
  <sheetFormatPr defaultRowHeight="13.8"/>
  <cols>
    <col min="1" max="1" width="177" bestFit="1" customWidth="1"/>
    <col min="2" max="2" width="22.09765625" bestFit="1" customWidth="1"/>
    <col min="3" max="3" width="54.09765625" customWidth="1"/>
    <col min="4" max="4" width="28.3984375" bestFit="1" customWidth="1"/>
    <col min="5" max="5" width="13.8984375" bestFit="1" customWidth="1"/>
    <col min="6" max="6" width="16.69921875" bestFit="1" customWidth="1"/>
    <col min="7" max="7" width="21.69921875" bestFit="1" customWidth="1"/>
  </cols>
  <sheetData>
    <row r="1" spans="1:7" ht="17.399999999999999">
      <c r="A1" s="74" t="s">
        <v>0</v>
      </c>
      <c r="B1" s="57" t="s">
        <v>16</v>
      </c>
      <c r="C1" s="57" t="s">
        <v>15</v>
      </c>
      <c r="D1" s="57" t="s">
        <v>17</v>
      </c>
      <c r="E1" s="57" t="s">
        <v>18</v>
      </c>
      <c r="F1" s="57" t="s">
        <v>3</v>
      </c>
    </row>
    <row r="2" spans="1:7" ht="15">
      <c r="A2" s="9" t="s">
        <v>64</v>
      </c>
      <c r="B2" s="11" t="s">
        <v>14</v>
      </c>
      <c r="C2" s="26" t="s">
        <v>67</v>
      </c>
      <c r="D2" s="12">
        <v>0.3</v>
      </c>
      <c r="E2" s="11"/>
      <c r="F2" s="11">
        <f>+D2*E2</f>
        <v>0</v>
      </c>
    </row>
    <row r="3" spans="1:7" ht="15">
      <c r="A3" s="29" t="s">
        <v>81</v>
      </c>
      <c r="B3" s="11" t="s">
        <v>14</v>
      </c>
      <c r="C3" s="26" t="s">
        <v>20</v>
      </c>
      <c r="D3" s="12">
        <v>0.1</v>
      </c>
      <c r="E3" s="11"/>
      <c r="F3" s="11">
        <f>+D3*E3</f>
        <v>0</v>
      </c>
    </row>
    <row r="4" spans="1:7" ht="15">
      <c r="A4" s="10" t="s">
        <v>62</v>
      </c>
      <c r="B4" s="11" t="s">
        <v>14</v>
      </c>
      <c r="C4" s="26" t="s">
        <v>20</v>
      </c>
      <c r="D4" s="12">
        <v>0.15</v>
      </c>
      <c r="E4" s="11"/>
      <c r="F4" s="11">
        <v>0</v>
      </c>
    </row>
    <row r="5" spans="1:7" ht="15">
      <c r="A5" s="9" t="s">
        <v>63</v>
      </c>
      <c r="B5" s="11" t="s">
        <v>14</v>
      </c>
      <c r="C5" s="26" t="s">
        <v>20</v>
      </c>
      <c r="D5" s="12">
        <v>0.15</v>
      </c>
      <c r="E5" s="11"/>
      <c r="F5" s="11">
        <f t="shared" ref="F5:F7" si="0">+D5*E5</f>
        <v>0</v>
      </c>
    </row>
    <row r="6" spans="1:7" ht="15">
      <c r="A6" s="9" t="s">
        <v>86</v>
      </c>
      <c r="B6" s="11" t="s">
        <v>14</v>
      </c>
      <c r="C6" s="26" t="s">
        <v>20</v>
      </c>
      <c r="D6" s="12">
        <v>0.15</v>
      </c>
      <c r="E6" s="11"/>
      <c r="F6" s="11">
        <f t="shared" si="0"/>
        <v>0</v>
      </c>
    </row>
    <row r="7" spans="1:7" ht="15">
      <c r="A7" s="9" t="s">
        <v>91</v>
      </c>
      <c r="B7" s="11" t="s">
        <v>14</v>
      </c>
      <c r="C7" s="26" t="s">
        <v>20</v>
      </c>
      <c r="D7" s="12">
        <v>0.15</v>
      </c>
      <c r="E7" s="11"/>
      <c r="F7" s="11">
        <f t="shared" si="0"/>
        <v>0</v>
      </c>
    </row>
    <row r="8" spans="1:7" ht="15">
      <c r="A8" s="47" t="s">
        <v>19</v>
      </c>
      <c r="B8" s="47"/>
      <c r="C8" s="47"/>
      <c r="D8" s="49">
        <f>SUM(D2:D7)</f>
        <v>1</v>
      </c>
      <c r="E8" s="47"/>
      <c r="F8" s="48">
        <f>SUM(F3:F7)</f>
        <v>0</v>
      </c>
    </row>
    <row r="9" spans="1:7" ht="15">
      <c r="A9" s="8"/>
    </row>
    <row r="10" spans="1:7" ht="15">
      <c r="A10" s="8"/>
    </row>
    <row r="11" spans="1:7" ht="17.399999999999999">
      <c r="A11" s="8"/>
      <c r="B11" s="50" t="s">
        <v>0</v>
      </c>
      <c r="C11" s="51" t="s">
        <v>1</v>
      </c>
      <c r="D11" s="51" t="s">
        <v>2</v>
      </c>
      <c r="E11" s="51" t="s">
        <v>21</v>
      </c>
      <c r="F11" s="51" t="s">
        <v>3</v>
      </c>
      <c r="G11" s="51" t="s">
        <v>4</v>
      </c>
    </row>
    <row r="12" spans="1:7" ht="18">
      <c r="A12" s="7"/>
      <c r="B12" s="16">
        <v>1</v>
      </c>
      <c r="C12" s="15" t="s">
        <v>36</v>
      </c>
      <c r="D12" s="25">
        <v>0.3</v>
      </c>
      <c r="E12" s="19">
        <v>8</v>
      </c>
      <c r="F12" s="20">
        <f>(D12*E12)/10</f>
        <v>0.24</v>
      </c>
      <c r="G12" s="2" t="s">
        <v>6</v>
      </c>
    </row>
    <row r="13" spans="1:7" ht="18">
      <c r="A13" s="8"/>
      <c r="B13" s="16">
        <v>2</v>
      </c>
      <c r="C13" s="15" t="s">
        <v>37</v>
      </c>
      <c r="D13" s="25">
        <v>0.15</v>
      </c>
      <c r="E13" s="19">
        <v>8</v>
      </c>
      <c r="F13" s="20">
        <f t="shared" ref="F13:F18" si="1">(D13*E13)/10</f>
        <v>0.12</v>
      </c>
      <c r="G13" s="2" t="s">
        <v>7</v>
      </c>
    </row>
    <row r="14" spans="1:7" ht="18">
      <c r="A14" s="8"/>
      <c r="B14" s="16">
        <v>3</v>
      </c>
      <c r="C14" s="15" t="s">
        <v>39</v>
      </c>
      <c r="D14" s="25">
        <v>0.05</v>
      </c>
      <c r="E14" s="19">
        <v>8</v>
      </c>
      <c r="F14" s="20">
        <f t="shared" si="1"/>
        <v>0.04</v>
      </c>
      <c r="G14" s="2" t="s">
        <v>25</v>
      </c>
    </row>
    <row r="15" spans="1:7" ht="18">
      <c r="A15" s="7"/>
      <c r="B15" s="16">
        <v>4</v>
      </c>
      <c r="C15" s="15" t="s">
        <v>37</v>
      </c>
      <c r="D15" s="25">
        <v>0.2</v>
      </c>
      <c r="E15" s="19">
        <v>8</v>
      </c>
      <c r="F15" s="20">
        <f t="shared" si="1"/>
        <v>0.16</v>
      </c>
      <c r="G15" s="2" t="s">
        <v>9</v>
      </c>
    </row>
    <row r="16" spans="1:7" ht="18">
      <c r="A16" s="8"/>
      <c r="B16" s="16">
        <v>5</v>
      </c>
      <c r="C16" s="15" t="s">
        <v>40</v>
      </c>
      <c r="D16" s="25">
        <v>0.15</v>
      </c>
      <c r="E16" s="19">
        <v>5</v>
      </c>
      <c r="F16" s="20">
        <f t="shared" si="1"/>
        <v>7.4999999999999997E-2</v>
      </c>
      <c r="G16" s="2" t="s">
        <v>12</v>
      </c>
    </row>
    <row r="17" spans="1:7" ht="18">
      <c r="A17" s="8"/>
      <c r="B17" s="16">
        <v>6</v>
      </c>
      <c r="C17" s="15" t="s">
        <v>37</v>
      </c>
      <c r="D17" s="25">
        <v>0.1</v>
      </c>
      <c r="E17" s="19">
        <v>5</v>
      </c>
      <c r="F17" s="20">
        <f t="shared" si="1"/>
        <v>0.05</v>
      </c>
      <c r="G17" s="2" t="s">
        <v>6</v>
      </c>
    </row>
    <row r="18" spans="1:7" ht="18">
      <c r="A18" s="7"/>
      <c r="B18" s="16">
        <v>7</v>
      </c>
      <c r="C18" s="15" t="s">
        <v>5</v>
      </c>
      <c r="D18" s="25">
        <v>0.05</v>
      </c>
      <c r="E18" s="19">
        <v>7</v>
      </c>
      <c r="F18" s="20">
        <f t="shared" si="1"/>
        <v>3.5000000000000003E-2</v>
      </c>
      <c r="G18" s="2" t="s">
        <v>6</v>
      </c>
    </row>
    <row r="19" spans="1:7" ht="15">
      <c r="A19" s="8"/>
      <c r="B19" s="58" t="s">
        <v>19</v>
      </c>
      <c r="C19" s="58"/>
      <c r="D19" s="59">
        <f>SUM(D12:D18)</f>
        <v>1</v>
      </c>
      <c r="E19" s="58">
        <f>SUM(E12:E18)</f>
        <v>49</v>
      </c>
      <c r="F19" s="60">
        <f>SUM(F12:F18)</f>
        <v>0.72</v>
      </c>
      <c r="G19" s="58"/>
    </row>
    <row r="20" spans="1:7">
      <c r="F20" s="21" t="s">
        <v>34</v>
      </c>
    </row>
  </sheetData>
  <pageMargins left="0.7" right="0.7" top="0.75" bottom="0.75" header="0.3" footer="0.3"/>
  <headerFooter>
    <oddFooter>&amp;C_x000D_&amp;1#&amp;"Calibri"&amp;10&amp;KDBD800 Classification: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A2" sqref="A2:A7"/>
    </sheetView>
  </sheetViews>
  <sheetFormatPr defaultRowHeight="13.8"/>
  <cols>
    <col min="1" max="1" width="176" customWidth="1"/>
    <col min="2" max="2" width="22.09765625" bestFit="1" customWidth="1"/>
    <col min="3" max="3" width="52.59765625" customWidth="1"/>
    <col min="4" max="4" width="28.3984375" bestFit="1" customWidth="1"/>
    <col min="5" max="5" width="13.8984375" bestFit="1" customWidth="1"/>
    <col min="6" max="6" width="16.69921875" bestFit="1" customWidth="1"/>
    <col min="7" max="7" width="11" bestFit="1" customWidth="1"/>
  </cols>
  <sheetData>
    <row r="1" spans="1:7" ht="15.6">
      <c r="A1" s="75" t="s">
        <v>0</v>
      </c>
      <c r="B1" s="61" t="s">
        <v>16</v>
      </c>
      <c r="C1" s="61" t="s">
        <v>15</v>
      </c>
      <c r="D1" s="61" t="s">
        <v>17</v>
      </c>
      <c r="E1" s="61" t="s">
        <v>18</v>
      </c>
      <c r="F1" s="61" t="s">
        <v>3</v>
      </c>
    </row>
    <row r="2" spans="1:7" ht="15">
      <c r="A2" s="31" t="s">
        <v>61</v>
      </c>
      <c r="B2" s="14" t="s">
        <v>14</v>
      </c>
      <c r="C2" s="44" t="s">
        <v>66</v>
      </c>
      <c r="D2" s="25">
        <v>0.3</v>
      </c>
      <c r="E2" s="14"/>
      <c r="F2" s="14">
        <f>+D2*E2</f>
        <v>0</v>
      </c>
    </row>
    <row r="3" spans="1:7" ht="15">
      <c r="A3" s="31" t="s">
        <v>81</v>
      </c>
      <c r="B3" s="14" t="s">
        <v>14</v>
      </c>
      <c r="C3" s="28" t="s">
        <v>20</v>
      </c>
      <c r="D3" s="25">
        <v>0.1</v>
      </c>
      <c r="E3" s="14"/>
      <c r="F3" s="14">
        <f>+D3*E3</f>
        <v>0</v>
      </c>
    </row>
    <row r="4" spans="1:7" ht="15">
      <c r="A4" s="31" t="s">
        <v>62</v>
      </c>
      <c r="B4" s="14" t="s">
        <v>14</v>
      </c>
      <c r="C4" s="28" t="s">
        <v>20</v>
      </c>
      <c r="D4" s="25">
        <v>0.15</v>
      </c>
      <c r="E4" s="14"/>
      <c r="F4" s="14"/>
    </row>
    <row r="5" spans="1:7" ht="15">
      <c r="A5" s="31" t="s">
        <v>90</v>
      </c>
      <c r="B5" s="14" t="s">
        <v>14</v>
      </c>
      <c r="C5" s="28" t="s">
        <v>20</v>
      </c>
      <c r="D5" s="25">
        <v>0.15</v>
      </c>
      <c r="E5" s="14"/>
      <c r="F5" s="14">
        <f t="shared" ref="F5:F7" si="0">+D5*E5</f>
        <v>0</v>
      </c>
    </row>
    <row r="6" spans="1:7" ht="18.75" customHeight="1">
      <c r="A6" s="31" t="s">
        <v>86</v>
      </c>
      <c r="B6" s="14" t="s">
        <v>14</v>
      </c>
      <c r="C6" s="28" t="s">
        <v>20</v>
      </c>
      <c r="D6" s="25">
        <v>0.15</v>
      </c>
      <c r="E6" s="14"/>
      <c r="F6" s="14">
        <f t="shared" si="0"/>
        <v>0</v>
      </c>
    </row>
    <row r="7" spans="1:7" ht="15">
      <c r="A7" s="31" t="s">
        <v>91</v>
      </c>
      <c r="B7" s="14" t="s">
        <v>14</v>
      </c>
      <c r="C7" s="28" t="s">
        <v>20</v>
      </c>
      <c r="D7" s="25">
        <v>0.15</v>
      </c>
      <c r="E7" s="14"/>
      <c r="F7" s="14">
        <f t="shared" si="0"/>
        <v>0</v>
      </c>
    </row>
    <row r="8" spans="1:7" ht="15">
      <c r="A8" s="62" t="s">
        <v>19</v>
      </c>
      <c r="B8" s="62"/>
      <c r="C8" s="62"/>
      <c r="D8" s="63">
        <f>SUM(D2:D7)</f>
        <v>1</v>
      </c>
      <c r="E8" s="62"/>
      <c r="F8" s="64">
        <f>SUM(F3:F7)</f>
        <v>0</v>
      </c>
    </row>
    <row r="11" spans="1:7" ht="17.399999999999999">
      <c r="B11" s="50" t="s">
        <v>0</v>
      </c>
      <c r="C11" s="51" t="s">
        <v>1</v>
      </c>
      <c r="D11" s="51" t="s">
        <v>2</v>
      </c>
      <c r="E11" s="51" t="s">
        <v>21</v>
      </c>
      <c r="F11" s="51" t="s">
        <v>3</v>
      </c>
      <c r="G11" s="51" t="s">
        <v>4</v>
      </c>
    </row>
    <row r="12" spans="1:7" ht="18">
      <c r="B12" s="16">
        <v>1</v>
      </c>
      <c r="C12" s="15" t="s">
        <v>36</v>
      </c>
      <c r="D12" s="25">
        <v>0.25</v>
      </c>
      <c r="E12" s="19">
        <v>8</v>
      </c>
      <c r="F12" s="20">
        <f>(D12*E12)/10</f>
        <v>0.2</v>
      </c>
      <c r="G12" s="19"/>
    </row>
    <row r="13" spans="1:7" ht="18">
      <c r="B13" s="16">
        <v>2</v>
      </c>
      <c r="C13" s="15" t="s">
        <v>8</v>
      </c>
      <c r="D13" s="25">
        <v>0.15</v>
      </c>
      <c r="E13" s="19">
        <v>0</v>
      </c>
      <c r="F13" s="20">
        <f t="shared" ref="F13:F18" si="1">(D13*E13)/10</f>
        <v>0</v>
      </c>
      <c r="G13" s="19"/>
    </row>
    <row r="14" spans="1:7" ht="18">
      <c r="B14" s="16">
        <v>3</v>
      </c>
      <c r="C14" s="15" t="s">
        <v>38</v>
      </c>
      <c r="D14" s="25">
        <v>0.1</v>
      </c>
      <c r="E14" s="19">
        <v>0</v>
      </c>
      <c r="F14" s="20">
        <f t="shared" si="1"/>
        <v>0</v>
      </c>
      <c r="G14" s="19"/>
    </row>
    <row r="15" spans="1:7" ht="18">
      <c r="B15" s="16">
        <v>4</v>
      </c>
      <c r="C15" s="15" t="s">
        <v>37</v>
      </c>
      <c r="D15" s="25">
        <v>0.15</v>
      </c>
      <c r="E15" s="19">
        <v>8</v>
      </c>
      <c r="F15" s="20">
        <f t="shared" si="1"/>
        <v>0.12</v>
      </c>
      <c r="G15" s="19"/>
    </row>
    <row r="16" spans="1:7" ht="18">
      <c r="B16" s="16">
        <v>5</v>
      </c>
      <c r="C16" s="15" t="s">
        <v>5</v>
      </c>
      <c r="D16" s="25">
        <v>0.1</v>
      </c>
      <c r="E16" s="19">
        <v>5</v>
      </c>
      <c r="F16" s="20">
        <f t="shared" si="1"/>
        <v>0.05</v>
      </c>
      <c r="G16" s="19"/>
    </row>
    <row r="17" spans="2:7" ht="18">
      <c r="B17" s="16">
        <v>6</v>
      </c>
      <c r="C17" s="15" t="s">
        <v>8</v>
      </c>
      <c r="D17" s="25">
        <v>0.1</v>
      </c>
      <c r="E17" s="19">
        <v>0</v>
      </c>
      <c r="F17" s="20">
        <f t="shared" si="1"/>
        <v>0</v>
      </c>
      <c r="G17" s="19"/>
    </row>
    <row r="18" spans="2:7" ht="18">
      <c r="B18" s="16">
        <v>7</v>
      </c>
      <c r="C18" s="15" t="s">
        <v>5</v>
      </c>
      <c r="D18" s="25">
        <v>0.15</v>
      </c>
      <c r="E18" s="19">
        <v>7</v>
      </c>
      <c r="F18" s="20">
        <f t="shared" si="1"/>
        <v>0.10500000000000001</v>
      </c>
      <c r="G18" s="19"/>
    </row>
    <row r="19" spans="2:7">
      <c r="B19" s="58" t="s">
        <v>19</v>
      </c>
      <c r="C19" s="58"/>
      <c r="D19" s="59">
        <f>SUM(D12:D18)</f>
        <v>1</v>
      </c>
      <c r="E19" s="58">
        <f>SUM(E12:E18)</f>
        <v>28</v>
      </c>
      <c r="F19" s="60">
        <f>SUM(F12:F18)</f>
        <v>0.47499999999999998</v>
      </c>
      <c r="G19" s="58"/>
    </row>
    <row r="20" spans="2:7">
      <c r="F20" s="22" t="s">
        <v>27</v>
      </c>
    </row>
  </sheetData>
  <pageMargins left="0.7" right="0.7" top="0.75" bottom="0.75" header="0.3" footer="0.3"/>
  <headerFooter>
    <oddFooter>&amp;C_x000D_&amp;1#&amp;"Calibri"&amp;10&amp;KDBD800 Classification: 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selection activeCell="A14" sqref="A14"/>
    </sheetView>
  </sheetViews>
  <sheetFormatPr defaultRowHeight="13.8"/>
  <cols>
    <col min="1" max="1" width="188.59765625" customWidth="1"/>
    <col min="2" max="2" width="22.09765625" bestFit="1" customWidth="1"/>
    <col min="3" max="3" width="69.09765625" bestFit="1" customWidth="1"/>
    <col min="4" max="4" width="28.3984375" bestFit="1" customWidth="1"/>
    <col min="5" max="5" width="13.8984375" bestFit="1" customWidth="1"/>
    <col min="6" max="6" width="16.69921875" bestFit="1" customWidth="1"/>
    <col min="7" max="7" width="11" bestFit="1" customWidth="1"/>
    <col min="8" max="8" width="14.59765625" bestFit="1" customWidth="1"/>
    <col min="9" max="9" width="21.69921875" bestFit="1" customWidth="1"/>
  </cols>
  <sheetData>
    <row r="1" spans="1:9" ht="15.6">
      <c r="A1" s="46" t="s">
        <v>0</v>
      </c>
      <c r="B1" s="57" t="s">
        <v>16</v>
      </c>
      <c r="C1" s="57" t="s">
        <v>15</v>
      </c>
      <c r="D1" s="57" t="s">
        <v>17</v>
      </c>
      <c r="E1" s="57" t="s">
        <v>18</v>
      </c>
      <c r="F1" s="57" t="s">
        <v>3</v>
      </c>
    </row>
    <row r="2" spans="1:9" ht="15">
      <c r="A2" s="35" t="s">
        <v>92</v>
      </c>
      <c r="B2" s="33" t="s">
        <v>14</v>
      </c>
      <c r="C2" s="26" t="s">
        <v>66</v>
      </c>
      <c r="D2" s="34">
        <v>0.3</v>
      </c>
      <c r="E2" s="11"/>
      <c r="F2" s="11">
        <f>+D2*E2</f>
        <v>0</v>
      </c>
    </row>
    <row r="3" spans="1:9" ht="15">
      <c r="A3" s="32" t="s">
        <v>81</v>
      </c>
      <c r="B3" s="33" t="s">
        <v>14</v>
      </c>
      <c r="C3" s="36" t="s">
        <v>20</v>
      </c>
      <c r="D3" s="34">
        <v>0.1</v>
      </c>
      <c r="E3" s="11"/>
      <c r="F3" s="11">
        <f>+D3*E3</f>
        <v>0</v>
      </c>
    </row>
    <row r="4" spans="1:9" ht="15">
      <c r="A4" s="35" t="s">
        <v>62</v>
      </c>
      <c r="B4" s="33" t="s">
        <v>14</v>
      </c>
      <c r="C4" s="36" t="s">
        <v>20</v>
      </c>
      <c r="D4" s="34">
        <v>0.15</v>
      </c>
      <c r="E4" s="11"/>
      <c r="F4" s="11">
        <f t="shared" ref="F4:F7" si="0">+D4*E4</f>
        <v>0</v>
      </c>
    </row>
    <row r="5" spans="1:9" ht="18" customHeight="1">
      <c r="A5" s="37" t="s">
        <v>93</v>
      </c>
      <c r="B5" s="33" t="s">
        <v>14</v>
      </c>
      <c r="C5" s="36" t="s">
        <v>20</v>
      </c>
      <c r="D5" s="34">
        <v>0.1</v>
      </c>
      <c r="E5" s="11"/>
      <c r="F5" s="11">
        <f>+D5*E5</f>
        <v>0</v>
      </c>
    </row>
    <row r="6" spans="1:9" ht="15">
      <c r="A6" s="35" t="s">
        <v>94</v>
      </c>
      <c r="B6" s="33" t="s">
        <v>14</v>
      </c>
      <c r="C6" s="36" t="s">
        <v>20</v>
      </c>
      <c r="D6" s="34">
        <v>0.1</v>
      </c>
      <c r="E6" s="11"/>
      <c r="F6" s="11">
        <f t="shared" si="0"/>
        <v>0</v>
      </c>
    </row>
    <row r="7" spans="1:9" ht="15">
      <c r="A7" s="35" t="s">
        <v>86</v>
      </c>
      <c r="B7" s="33" t="s">
        <v>14</v>
      </c>
      <c r="C7" s="36" t="s">
        <v>20</v>
      </c>
      <c r="D7" s="34">
        <v>0.1</v>
      </c>
      <c r="E7" s="11"/>
      <c r="F7" s="11">
        <f t="shared" si="0"/>
        <v>0</v>
      </c>
    </row>
    <row r="8" spans="1:9" ht="15">
      <c r="A8" s="32" t="s">
        <v>91</v>
      </c>
      <c r="B8" s="33" t="s">
        <v>14</v>
      </c>
      <c r="C8" s="36" t="s">
        <v>20</v>
      </c>
      <c r="D8" s="34">
        <v>0.15</v>
      </c>
      <c r="E8" s="11"/>
      <c r="F8" s="11">
        <f>+D8*E8</f>
        <v>0</v>
      </c>
    </row>
    <row r="9" spans="1:9" ht="15">
      <c r="A9" s="65" t="s">
        <v>19</v>
      </c>
      <c r="B9" s="65"/>
      <c r="C9" s="65"/>
      <c r="D9" s="66">
        <f>SUM(D2:D8)</f>
        <v>1</v>
      </c>
      <c r="E9" s="47"/>
      <c r="F9" s="48">
        <f>SUM(F3:F7)</f>
        <v>0</v>
      </c>
    </row>
    <row r="13" spans="1:9" ht="17.399999999999999">
      <c r="B13" s="50" t="s">
        <v>0</v>
      </c>
      <c r="C13" s="51" t="s">
        <v>1</v>
      </c>
      <c r="D13" s="51" t="s">
        <v>2</v>
      </c>
      <c r="E13" s="51" t="s">
        <v>21</v>
      </c>
      <c r="F13" s="51" t="s">
        <v>3</v>
      </c>
      <c r="G13" s="51" t="s">
        <v>4</v>
      </c>
      <c r="H13" s="23"/>
      <c r="I13" s="23"/>
    </row>
    <row r="14" spans="1:9" ht="18">
      <c r="B14" s="16">
        <v>1</v>
      </c>
      <c r="C14" s="15" t="s">
        <v>36</v>
      </c>
      <c r="D14" s="25">
        <v>0.25</v>
      </c>
      <c r="E14" s="19">
        <v>8</v>
      </c>
      <c r="F14" s="20">
        <f>(D14*E14)/10</f>
        <v>0.2</v>
      </c>
      <c r="G14" s="19"/>
      <c r="H14" s="24"/>
      <c r="I14" s="24"/>
    </row>
    <row r="15" spans="1:9" ht="18">
      <c r="B15" s="16">
        <v>2</v>
      </c>
      <c r="C15" s="15" t="s">
        <v>5</v>
      </c>
      <c r="D15" s="25">
        <v>0.15</v>
      </c>
      <c r="E15" s="19">
        <v>8</v>
      </c>
      <c r="F15" s="20">
        <f t="shared" ref="F15:F20" si="1">(D15*E15)/10</f>
        <v>0.12</v>
      </c>
      <c r="G15" s="19"/>
      <c r="H15" s="24"/>
      <c r="I15" s="24"/>
    </row>
    <row r="16" spans="1:9" ht="18">
      <c r="B16" s="16">
        <v>3</v>
      </c>
      <c r="C16" s="15" t="s">
        <v>36</v>
      </c>
      <c r="D16" s="25">
        <v>0.1</v>
      </c>
      <c r="E16" s="19">
        <v>8</v>
      </c>
      <c r="F16" s="20">
        <f t="shared" si="1"/>
        <v>0.08</v>
      </c>
      <c r="G16" s="19"/>
      <c r="H16" s="24"/>
      <c r="I16" s="24"/>
    </row>
    <row r="17" spans="2:9" ht="18">
      <c r="B17" s="16">
        <v>4</v>
      </c>
      <c r="C17" s="15" t="s">
        <v>36</v>
      </c>
      <c r="D17" s="25">
        <v>0.1</v>
      </c>
      <c r="E17" s="19">
        <v>8</v>
      </c>
      <c r="F17" s="20">
        <f t="shared" si="1"/>
        <v>0.08</v>
      </c>
      <c r="G17" s="19"/>
      <c r="H17" s="24"/>
      <c r="I17" s="24"/>
    </row>
    <row r="18" spans="2:9" ht="18">
      <c r="B18" s="16">
        <v>5</v>
      </c>
      <c r="C18" s="15" t="s">
        <v>37</v>
      </c>
      <c r="D18" s="25">
        <v>0.15</v>
      </c>
      <c r="E18" s="19">
        <v>8</v>
      </c>
      <c r="F18" s="20">
        <f t="shared" si="1"/>
        <v>0.12</v>
      </c>
      <c r="G18" s="19"/>
      <c r="H18" s="24"/>
      <c r="I18" s="24"/>
    </row>
    <row r="19" spans="2:9" ht="18">
      <c r="B19" s="16">
        <v>6</v>
      </c>
      <c r="C19" s="15" t="s">
        <v>37</v>
      </c>
      <c r="D19" s="25">
        <v>0.1</v>
      </c>
      <c r="E19" s="19">
        <v>8</v>
      </c>
      <c r="F19" s="20">
        <f t="shared" si="1"/>
        <v>0.08</v>
      </c>
      <c r="G19" s="19"/>
      <c r="H19" s="24"/>
      <c r="I19" s="24"/>
    </row>
    <row r="20" spans="2:9" ht="18">
      <c r="B20" s="16">
        <v>7</v>
      </c>
      <c r="C20" s="15" t="s">
        <v>5</v>
      </c>
      <c r="D20" s="25">
        <v>0.15</v>
      </c>
      <c r="E20" s="19">
        <v>8</v>
      </c>
      <c r="F20" s="20">
        <f t="shared" si="1"/>
        <v>0.12</v>
      </c>
      <c r="G20" s="19"/>
      <c r="H20" s="24"/>
      <c r="I20" s="24"/>
    </row>
    <row r="21" spans="2:9">
      <c r="B21" s="58" t="s">
        <v>19</v>
      </c>
      <c r="C21" s="58"/>
      <c r="D21" s="59">
        <f>SUM(D14:D20)</f>
        <v>1</v>
      </c>
      <c r="E21" s="58">
        <f>SUM(E14:E20)</f>
        <v>56</v>
      </c>
      <c r="F21" s="60">
        <f>SUM(F14:F20)</f>
        <v>0.8</v>
      </c>
      <c r="G21" s="58"/>
      <c r="H21" s="24"/>
      <c r="I21" s="24"/>
    </row>
    <row r="22" spans="2:9">
      <c r="F22" s="21" t="s">
        <v>34</v>
      </c>
    </row>
  </sheetData>
  <pageMargins left="0.7" right="0.7" top="0.75" bottom="0.75" header="0.3" footer="0.3"/>
  <headerFooter>
    <oddFooter>&amp;C_x000D_&amp;1#&amp;"Calibri"&amp;10&amp;KDBD800 Classification: Restricted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A25" sqref="A25"/>
    </sheetView>
  </sheetViews>
  <sheetFormatPr defaultRowHeight="13.8"/>
  <cols>
    <col min="1" max="1" width="178.09765625" bestFit="1" customWidth="1"/>
    <col min="2" max="2" width="22.09765625" bestFit="1" customWidth="1"/>
    <col min="3" max="3" width="36.296875" customWidth="1"/>
    <col min="4" max="4" width="28.3984375" bestFit="1" customWidth="1"/>
    <col min="5" max="5" width="13.8984375" bestFit="1" customWidth="1"/>
    <col min="6" max="6" width="16.69921875" bestFit="1" customWidth="1"/>
    <col min="7" max="7" width="11" bestFit="1" customWidth="1"/>
    <col min="8" max="8" width="14.59765625" bestFit="1" customWidth="1"/>
    <col min="9" max="9" width="21.69921875" bestFit="1" customWidth="1"/>
  </cols>
  <sheetData>
    <row r="1" spans="1:7" ht="15.6">
      <c r="A1" s="46" t="s">
        <v>0</v>
      </c>
      <c r="B1" s="57" t="s">
        <v>16</v>
      </c>
      <c r="C1" s="57" t="s">
        <v>15</v>
      </c>
      <c r="D1" s="57" t="s">
        <v>17</v>
      </c>
      <c r="E1" s="57" t="s">
        <v>18</v>
      </c>
      <c r="F1" s="57" t="s">
        <v>3</v>
      </c>
    </row>
    <row r="2" spans="1:7" ht="15">
      <c r="A2" s="31" t="s">
        <v>64</v>
      </c>
      <c r="B2" s="38" t="s">
        <v>14</v>
      </c>
      <c r="C2" s="26" t="s">
        <v>66</v>
      </c>
      <c r="D2" s="39">
        <v>0.3</v>
      </c>
      <c r="E2" s="11"/>
      <c r="F2" s="11">
        <f>+D2*E2</f>
        <v>0</v>
      </c>
    </row>
    <row r="3" spans="1:7" ht="15">
      <c r="A3" s="31" t="s">
        <v>81</v>
      </c>
      <c r="B3" s="38" t="s">
        <v>14</v>
      </c>
      <c r="C3" s="40" t="s">
        <v>20</v>
      </c>
      <c r="D3" s="39">
        <v>0.1</v>
      </c>
      <c r="E3" s="11"/>
      <c r="F3" s="11">
        <f>+D3*E3</f>
        <v>0</v>
      </c>
    </row>
    <row r="4" spans="1:7" ht="15">
      <c r="A4" s="31" t="s">
        <v>95</v>
      </c>
      <c r="B4" s="38" t="s">
        <v>14</v>
      </c>
      <c r="C4" s="40" t="s">
        <v>20</v>
      </c>
      <c r="D4" s="39">
        <v>0.25</v>
      </c>
      <c r="E4" s="11"/>
      <c r="F4" s="11">
        <f t="shared" ref="F4:F6" si="0">+D4*E4</f>
        <v>0</v>
      </c>
    </row>
    <row r="5" spans="1:7" ht="15">
      <c r="A5" s="31" t="s">
        <v>96</v>
      </c>
      <c r="B5" s="38" t="s">
        <v>14</v>
      </c>
      <c r="C5" s="40" t="s">
        <v>20</v>
      </c>
      <c r="D5" s="39">
        <v>0.15</v>
      </c>
      <c r="E5" s="11"/>
      <c r="F5" s="11">
        <v>0</v>
      </c>
    </row>
    <row r="6" spans="1:7" ht="15">
      <c r="A6" s="31" t="s">
        <v>86</v>
      </c>
      <c r="B6" s="38" t="s">
        <v>14</v>
      </c>
      <c r="C6" s="40" t="s">
        <v>20</v>
      </c>
      <c r="D6" s="39">
        <v>0.2</v>
      </c>
      <c r="E6" s="11"/>
      <c r="F6" s="11">
        <f t="shared" si="0"/>
        <v>0</v>
      </c>
    </row>
    <row r="7" spans="1:7" ht="15">
      <c r="A7" s="67" t="s">
        <v>19</v>
      </c>
      <c r="B7" s="67"/>
      <c r="C7" s="67"/>
      <c r="D7" s="68">
        <f>SUM(D2:D6)</f>
        <v>1</v>
      </c>
      <c r="E7" s="47"/>
      <c r="F7" s="48">
        <f>SUM(F3:F6)</f>
        <v>0</v>
      </c>
    </row>
    <row r="10" spans="1:7" ht="17.399999999999999">
      <c r="B10" s="50" t="s">
        <v>0</v>
      </c>
      <c r="C10" s="51" t="s">
        <v>1</v>
      </c>
      <c r="D10" s="51" t="s">
        <v>2</v>
      </c>
      <c r="E10" s="51" t="s">
        <v>21</v>
      </c>
      <c r="F10" s="51" t="s">
        <v>3</v>
      </c>
      <c r="G10" s="51" t="s">
        <v>4</v>
      </c>
    </row>
    <row r="11" spans="1:7" ht="18">
      <c r="B11" s="16">
        <v>1</v>
      </c>
      <c r="C11" s="15" t="s">
        <v>36</v>
      </c>
      <c r="D11" s="18">
        <v>0.3</v>
      </c>
      <c r="E11" s="19">
        <v>8</v>
      </c>
      <c r="F11" s="20">
        <f>(D11*E11)/10</f>
        <v>0.24</v>
      </c>
      <c r="G11" s="19"/>
    </row>
    <row r="12" spans="1:7" ht="18">
      <c r="B12" s="16">
        <v>2</v>
      </c>
      <c r="C12" s="15" t="s">
        <v>5</v>
      </c>
      <c r="D12" s="18">
        <v>0.25</v>
      </c>
      <c r="E12" s="19">
        <v>8</v>
      </c>
      <c r="F12" s="20">
        <f t="shared" ref="F12:F14" si="1">(D12*E12)/10</f>
        <v>0.2</v>
      </c>
      <c r="G12" s="19"/>
    </row>
    <row r="13" spans="1:7" ht="18">
      <c r="B13" s="16">
        <v>3</v>
      </c>
      <c r="C13" s="15" t="s">
        <v>5</v>
      </c>
      <c r="D13" s="18">
        <v>0.25</v>
      </c>
      <c r="E13" s="19">
        <v>8</v>
      </c>
      <c r="F13" s="20">
        <f t="shared" si="1"/>
        <v>0.2</v>
      </c>
      <c r="G13" s="19"/>
    </row>
    <row r="14" spans="1:7" ht="18">
      <c r="B14" s="16">
        <v>4</v>
      </c>
      <c r="C14" s="15" t="s">
        <v>8</v>
      </c>
      <c r="D14" s="18">
        <v>0.2</v>
      </c>
      <c r="E14" s="19">
        <v>0</v>
      </c>
      <c r="F14" s="20">
        <f t="shared" si="1"/>
        <v>0</v>
      </c>
      <c r="G14" s="19"/>
    </row>
    <row r="15" spans="1:7">
      <c r="B15" s="58" t="s">
        <v>19</v>
      </c>
      <c r="C15" s="58"/>
      <c r="D15" s="59">
        <f>SUM(D11:D14)</f>
        <v>1</v>
      </c>
      <c r="E15" s="58">
        <f>SUM(E11:E14)</f>
        <v>24</v>
      </c>
      <c r="F15" s="60">
        <f>SUM(F11:F14)</f>
        <v>0.64</v>
      </c>
      <c r="G15" s="58"/>
    </row>
    <row r="16" spans="1:7">
      <c r="F16" s="22" t="s">
        <v>27</v>
      </c>
    </row>
  </sheetData>
  <pageMargins left="0.7" right="0.7" top="0.75" bottom="0.75" header="0.3" footer="0.3"/>
  <headerFooter>
    <oddFooter>&amp;C_x000D_&amp;1#&amp;"Calibri"&amp;10&amp;KDBD800 Classification: Restricted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selection activeCell="A6" sqref="A6"/>
    </sheetView>
  </sheetViews>
  <sheetFormatPr defaultRowHeight="13.8"/>
  <cols>
    <col min="1" max="1" width="191.59765625" bestFit="1" customWidth="1"/>
    <col min="2" max="2" width="22.09765625" bestFit="1" customWidth="1"/>
    <col min="3" max="3" width="33" customWidth="1"/>
    <col min="4" max="4" width="28.3984375" bestFit="1" customWidth="1"/>
    <col min="5" max="5" width="13.8984375" customWidth="1"/>
    <col min="6" max="6" width="16.69921875" bestFit="1" customWidth="1"/>
    <col min="7" max="7" width="11" bestFit="1" customWidth="1"/>
    <col min="8" max="8" width="14.59765625" bestFit="1" customWidth="1"/>
    <col min="9" max="9" width="21.69921875" bestFit="1" customWidth="1"/>
  </cols>
  <sheetData>
    <row r="1" spans="1:9" ht="15.6">
      <c r="A1" s="46" t="s">
        <v>0</v>
      </c>
      <c r="B1" s="57" t="s">
        <v>16</v>
      </c>
      <c r="C1" s="57" t="s">
        <v>15</v>
      </c>
      <c r="D1" s="57" t="s">
        <v>17</v>
      </c>
      <c r="E1" s="57" t="s">
        <v>18</v>
      </c>
      <c r="F1" s="57" t="s">
        <v>3</v>
      </c>
    </row>
    <row r="2" spans="1:9" ht="15">
      <c r="A2" s="31" t="s">
        <v>65</v>
      </c>
      <c r="B2" s="38" t="s">
        <v>14</v>
      </c>
      <c r="C2" s="26" t="s">
        <v>66</v>
      </c>
      <c r="D2" s="39">
        <v>0.3</v>
      </c>
      <c r="E2" s="11"/>
      <c r="F2" s="11">
        <f>+D2*E2</f>
        <v>0</v>
      </c>
    </row>
    <row r="3" spans="1:9" ht="15">
      <c r="A3" s="41" t="s">
        <v>81</v>
      </c>
      <c r="B3" s="38" t="s">
        <v>14</v>
      </c>
      <c r="C3" s="40" t="s">
        <v>20</v>
      </c>
      <c r="D3" s="39">
        <v>0.1</v>
      </c>
      <c r="E3" s="11"/>
      <c r="F3" s="11">
        <f>+D3*E3</f>
        <v>0</v>
      </c>
    </row>
    <row r="4" spans="1:9" ht="15">
      <c r="A4" s="31" t="s">
        <v>84</v>
      </c>
      <c r="B4" s="38" t="s">
        <v>14</v>
      </c>
      <c r="C4" s="40" t="s">
        <v>20</v>
      </c>
      <c r="D4" s="39">
        <v>0.2</v>
      </c>
      <c r="E4" s="11"/>
      <c r="F4" s="11"/>
    </row>
    <row r="5" spans="1:9" ht="15">
      <c r="A5" s="41" t="s">
        <v>86</v>
      </c>
      <c r="B5" s="38" t="s">
        <v>14</v>
      </c>
      <c r="C5" s="40" t="s">
        <v>20</v>
      </c>
      <c r="D5" s="39">
        <v>0.15</v>
      </c>
      <c r="E5" s="11"/>
      <c r="F5" s="11">
        <f t="shared" ref="F5" si="0">+D5*E5</f>
        <v>0</v>
      </c>
    </row>
    <row r="6" spans="1:9" ht="15">
      <c r="A6" s="31" t="s">
        <v>91</v>
      </c>
      <c r="B6" s="38" t="s">
        <v>14</v>
      </c>
      <c r="C6" s="40" t="s">
        <v>20</v>
      </c>
      <c r="D6" s="39">
        <v>0.25</v>
      </c>
      <c r="E6" s="11"/>
      <c r="F6" s="11"/>
    </row>
    <row r="7" spans="1:9" ht="15">
      <c r="A7" s="47" t="s">
        <v>19</v>
      </c>
      <c r="B7" s="47"/>
      <c r="C7" s="47"/>
      <c r="D7" s="49">
        <f>SUM(D2:D6)</f>
        <v>1</v>
      </c>
      <c r="E7" s="47"/>
      <c r="F7" s="48">
        <f>SUM(F3:F5)</f>
        <v>0</v>
      </c>
    </row>
    <row r="11" spans="1:9" ht="17.399999999999999">
      <c r="B11" s="50" t="s">
        <v>0</v>
      </c>
      <c r="C11" s="51" t="s">
        <v>1</v>
      </c>
      <c r="D11" s="51" t="s">
        <v>2</v>
      </c>
      <c r="E11" s="51" t="s">
        <v>21</v>
      </c>
      <c r="F11" s="51" t="s">
        <v>3</v>
      </c>
      <c r="G11" s="51" t="s">
        <v>4</v>
      </c>
    </row>
    <row r="12" spans="1:9" ht="18">
      <c r="B12" s="16">
        <v>1</v>
      </c>
      <c r="C12" s="15" t="s">
        <v>36</v>
      </c>
      <c r="D12" s="18">
        <v>0.25</v>
      </c>
      <c r="E12" s="19">
        <v>8</v>
      </c>
      <c r="F12" s="20">
        <f>(D12*E12)/10</f>
        <v>0.2</v>
      </c>
      <c r="G12" s="19"/>
      <c r="H12" s="23"/>
      <c r="I12" s="23"/>
    </row>
    <row r="13" spans="1:9" ht="18">
      <c r="B13" s="16">
        <v>2</v>
      </c>
      <c r="C13" s="15" t="s">
        <v>11</v>
      </c>
      <c r="D13" s="18">
        <v>0.25</v>
      </c>
      <c r="E13" s="19">
        <v>8</v>
      </c>
      <c r="F13" s="20">
        <f t="shared" ref="F13:F15" si="1">(D13*E13)/10</f>
        <v>0.2</v>
      </c>
      <c r="G13" s="19"/>
      <c r="H13" s="24"/>
      <c r="I13" s="24"/>
    </row>
    <row r="14" spans="1:9" ht="18">
      <c r="B14" s="16">
        <v>3</v>
      </c>
      <c r="C14" s="15" t="s">
        <v>5</v>
      </c>
      <c r="D14" s="18">
        <v>0.25</v>
      </c>
      <c r="E14" s="19">
        <v>8</v>
      </c>
      <c r="F14" s="20">
        <f t="shared" si="1"/>
        <v>0.2</v>
      </c>
      <c r="G14" s="19"/>
      <c r="H14" s="24"/>
      <c r="I14" s="24"/>
    </row>
    <row r="15" spans="1:9" ht="18">
      <c r="B15" s="16">
        <v>4</v>
      </c>
      <c r="C15" s="15" t="s">
        <v>5</v>
      </c>
      <c r="D15" s="18">
        <v>0.25</v>
      </c>
      <c r="E15" s="19">
        <v>8</v>
      </c>
      <c r="F15" s="20">
        <f t="shared" si="1"/>
        <v>0.2</v>
      </c>
      <c r="G15" s="19"/>
      <c r="H15" s="24"/>
      <c r="I15" s="24"/>
    </row>
    <row r="16" spans="1:9">
      <c r="B16" s="58" t="s">
        <v>19</v>
      </c>
      <c r="C16" s="58"/>
      <c r="D16" s="59">
        <f>SUM(D12:D15)</f>
        <v>1</v>
      </c>
      <c r="E16" s="58">
        <f>SUM(E12:E15)</f>
        <v>32</v>
      </c>
      <c r="F16" s="60">
        <f>SUM(F12:F15)</f>
        <v>0.8</v>
      </c>
      <c r="G16" s="58"/>
      <c r="H16" s="24"/>
      <c r="I16" s="24"/>
    </row>
    <row r="17" spans="6:6">
      <c r="F17" s="21" t="s">
        <v>34</v>
      </c>
    </row>
  </sheetData>
  <pageMargins left="0.7" right="0.7" top="0.75" bottom="0.75" header="0.3" footer="0.3"/>
  <headerFooter>
    <oddFooter>&amp;C_x000D_&amp;1#&amp;"Calibri"&amp;10&amp;KDBD800 Classification: Restricted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A13" sqref="A13"/>
    </sheetView>
  </sheetViews>
  <sheetFormatPr defaultRowHeight="13.8"/>
  <cols>
    <col min="1" max="1" width="178.09765625" bestFit="1" customWidth="1"/>
    <col min="2" max="2" width="28.3984375" bestFit="1" customWidth="1"/>
    <col min="3" max="3" width="24.8984375" customWidth="1"/>
    <col min="4" max="4" width="28.3984375" bestFit="1" customWidth="1"/>
    <col min="5" max="5" width="13.8984375" bestFit="1" customWidth="1"/>
    <col min="6" max="6" width="16.69921875" bestFit="1" customWidth="1"/>
    <col min="7" max="7" width="21.69921875" bestFit="1" customWidth="1"/>
    <col min="8" max="8" width="14.59765625" bestFit="1" customWidth="1"/>
    <col min="9" max="9" width="21.69921875" bestFit="1" customWidth="1"/>
  </cols>
  <sheetData>
    <row r="1" spans="1:7" ht="15.6">
      <c r="A1" s="76" t="s">
        <v>0</v>
      </c>
      <c r="B1" s="69" t="s">
        <v>16</v>
      </c>
      <c r="C1" s="69" t="s">
        <v>15</v>
      </c>
      <c r="D1" s="69" t="s">
        <v>17</v>
      </c>
      <c r="E1" s="69" t="s">
        <v>18</v>
      </c>
      <c r="F1" s="69" t="s">
        <v>3</v>
      </c>
    </row>
    <row r="2" spans="1:7" ht="15">
      <c r="A2" s="31" t="s">
        <v>92</v>
      </c>
      <c r="B2" s="38" t="s">
        <v>14</v>
      </c>
      <c r="C2" s="26" t="s">
        <v>66</v>
      </c>
      <c r="D2" s="39">
        <v>0.3</v>
      </c>
      <c r="E2" s="11"/>
      <c r="F2" s="11">
        <f>+D2*E2</f>
        <v>0</v>
      </c>
    </row>
    <row r="3" spans="1:7" ht="15">
      <c r="A3" s="41" t="s">
        <v>81</v>
      </c>
      <c r="B3" s="38" t="s">
        <v>14</v>
      </c>
      <c r="C3" s="40" t="s">
        <v>20</v>
      </c>
      <c r="D3" s="39">
        <v>0.1</v>
      </c>
      <c r="E3" s="11"/>
      <c r="F3" s="11">
        <f>+D3*E3</f>
        <v>0</v>
      </c>
    </row>
    <row r="4" spans="1:7" ht="15">
      <c r="A4" s="31" t="s">
        <v>62</v>
      </c>
      <c r="B4" s="38" t="s">
        <v>14</v>
      </c>
      <c r="C4" s="40" t="s">
        <v>20</v>
      </c>
      <c r="D4" s="39">
        <v>0.15</v>
      </c>
      <c r="E4" s="11"/>
      <c r="F4" s="11">
        <f t="shared" ref="F4:F6" si="0">+D4*E4</f>
        <v>0</v>
      </c>
    </row>
    <row r="5" spans="1:7" ht="15">
      <c r="A5" s="31" t="s">
        <v>63</v>
      </c>
      <c r="B5" s="38" t="s">
        <v>14</v>
      </c>
      <c r="C5" s="40" t="s">
        <v>20</v>
      </c>
      <c r="D5" s="39">
        <v>0.15</v>
      </c>
      <c r="E5" s="11"/>
      <c r="F5" s="11">
        <f>+D5*E5</f>
        <v>0</v>
      </c>
    </row>
    <row r="6" spans="1:7" ht="15">
      <c r="A6" s="31" t="s">
        <v>86</v>
      </c>
      <c r="B6" s="38" t="s">
        <v>14</v>
      </c>
      <c r="C6" s="40" t="s">
        <v>20</v>
      </c>
      <c r="D6" s="39">
        <v>0.15</v>
      </c>
      <c r="E6" s="11"/>
      <c r="F6" s="11">
        <f t="shared" si="0"/>
        <v>0</v>
      </c>
    </row>
    <row r="7" spans="1:7" ht="15">
      <c r="A7" s="31" t="s">
        <v>91</v>
      </c>
      <c r="B7" s="38" t="s">
        <v>14</v>
      </c>
      <c r="C7" s="40" t="s">
        <v>20</v>
      </c>
      <c r="D7" s="39">
        <v>0.15</v>
      </c>
      <c r="E7" s="11"/>
      <c r="F7" s="11">
        <f>+D7*E7</f>
        <v>0</v>
      </c>
    </row>
    <row r="8" spans="1:7" ht="15">
      <c r="A8" s="47" t="s">
        <v>19</v>
      </c>
      <c r="B8" s="47"/>
      <c r="C8" s="47"/>
      <c r="D8" s="49">
        <f>SUM(D2:D7)</f>
        <v>1</v>
      </c>
      <c r="E8" s="47"/>
      <c r="F8" s="48">
        <f>SUM(F3:F6)</f>
        <v>0</v>
      </c>
    </row>
    <row r="11" spans="1:7" ht="17.399999999999999">
      <c r="B11" s="50" t="s">
        <v>0</v>
      </c>
      <c r="C11" s="51" t="s">
        <v>1</v>
      </c>
      <c r="D11" s="51" t="s">
        <v>2</v>
      </c>
      <c r="E11" s="51" t="s">
        <v>21</v>
      </c>
      <c r="F11" s="51" t="s">
        <v>3</v>
      </c>
      <c r="G11" s="51" t="s">
        <v>4</v>
      </c>
    </row>
    <row r="12" spans="1:7" ht="18">
      <c r="B12" s="16">
        <v>1</v>
      </c>
      <c r="C12" s="15" t="s">
        <v>11</v>
      </c>
      <c r="D12" s="18">
        <v>0.25</v>
      </c>
      <c r="E12" s="19">
        <v>8</v>
      </c>
      <c r="F12" s="20">
        <f>(D12*E12)/10</f>
        <v>0.2</v>
      </c>
      <c r="G12" s="19"/>
    </row>
    <row r="13" spans="1:7" ht="18">
      <c r="B13" s="16">
        <v>2</v>
      </c>
      <c r="C13" s="15" t="s">
        <v>5</v>
      </c>
      <c r="D13" s="18">
        <v>0.15</v>
      </c>
      <c r="E13" s="19">
        <v>7</v>
      </c>
      <c r="F13" s="20">
        <f t="shared" ref="F13:F17" si="1">(D13*E13)/10</f>
        <v>0.10500000000000001</v>
      </c>
      <c r="G13" s="19"/>
    </row>
    <row r="14" spans="1:7" ht="18">
      <c r="B14" s="16">
        <v>3</v>
      </c>
      <c r="C14" s="15" t="s">
        <v>5</v>
      </c>
      <c r="D14" s="18">
        <v>0.15</v>
      </c>
      <c r="E14" s="19">
        <v>8</v>
      </c>
      <c r="F14" s="20">
        <f t="shared" si="1"/>
        <v>0.12</v>
      </c>
      <c r="G14" s="19"/>
    </row>
    <row r="15" spans="1:7" ht="18">
      <c r="B15" s="16">
        <v>4</v>
      </c>
      <c r="C15" s="15" t="s">
        <v>5</v>
      </c>
      <c r="D15" s="18">
        <v>0.15</v>
      </c>
      <c r="E15" s="19">
        <v>8</v>
      </c>
      <c r="F15" s="20">
        <f t="shared" si="1"/>
        <v>0.12</v>
      </c>
      <c r="G15" s="19"/>
    </row>
    <row r="16" spans="1:7" ht="18">
      <c r="B16" s="16">
        <v>5</v>
      </c>
      <c r="C16" s="15" t="s">
        <v>11</v>
      </c>
      <c r="D16" s="18">
        <v>0.1</v>
      </c>
      <c r="E16" s="19">
        <v>10</v>
      </c>
      <c r="F16" s="20">
        <f t="shared" si="1"/>
        <v>0.1</v>
      </c>
      <c r="G16" s="19"/>
    </row>
    <row r="17" spans="2:7" ht="18">
      <c r="B17" s="16">
        <v>6</v>
      </c>
      <c r="C17" s="15" t="s">
        <v>32</v>
      </c>
      <c r="D17" s="18">
        <v>0.1</v>
      </c>
      <c r="E17" s="15">
        <v>8</v>
      </c>
      <c r="F17" s="20">
        <f t="shared" si="1"/>
        <v>0.08</v>
      </c>
      <c r="G17" s="15"/>
    </row>
    <row r="18" spans="2:7" ht="18">
      <c r="B18" s="16">
        <v>7</v>
      </c>
      <c r="C18" s="15" t="s">
        <v>33</v>
      </c>
      <c r="D18" s="18">
        <v>0.1</v>
      </c>
      <c r="E18" s="15">
        <v>10</v>
      </c>
      <c r="F18" s="20">
        <f>(D18*E18)/10</f>
        <v>0.1</v>
      </c>
      <c r="G18" s="15"/>
    </row>
    <row r="19" spans="2:7">
      <c r="B19" s="58" t="s">
        <v>19</v>
      </c>
      <c r="C19" s="58"/>
      <c r="D19" s="59">
        <f>SUM(D12:D18)</f>
        <v>1</v>
      </c>
      <c r="E19" s="58">
        <f>SUM(E12:E18)</f>
        <v>59</v>
      </c>
      <c r="F19" s="60">
        <f>SUM(F12:F18)</f>
        <v>0.82499999999999996</v>
      </c>
      <c r="G19" s="58"/>
    </row>
    <row r="20" spans="2:7">
      <c r="F20" s="21" t="s">
        <v>34</v>
      </c>
    </row>
  </sheetData>
  <pageMargins left="0.7" right="0.7" top="0.75" bottom="0.75" header="0.3" footer="0.3"/>
  <headerFooter>
    <oddFooter>&amp;C_x000D_&amp;1#&amp;"Calibri"&amp;10&amp;KDBD800 Classification: Restricted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workbookViewId="0">
      <selection activeCell="A2" sqref="A2:A6"/>
    </sheetView>
  </sheetViews>
  <sheetFormatPr defaultRowHeight="13.8"/>
  <cols>
    <col min="1" max="1" width="178.09765625" bestFit="1" customWidth="1"/>
    <col min="2" max="2" width="22.09765625" bestFit="1" customWidth="1"/>
    <col min="3" max="3" width="71.59765625" bestFit="1" customWidth="1"/>
    <col min="4" max="4" width="28.3984375" bestFit="1" customWidth="1"/>
    <col min="5" max="5" width="13.8984375" bestFit="1" customWidth="1"/>
    <col min="6" max="6" width="16.69921875" bestFit="1" customWidth="1"/>
    <col min="7" max="7" width="11" bestFit="1" customWidth="1"/>
    <col min="8" max="8" width="14.59765625" bestFit="1" customWidth="1"/>
    <col min="9" max="9" width="21.69921875" bestFit="1" customWidth="1"/>
  </cols>
  <sheetData>
    <row r="1" spans="1:9" ht="15.6">
      <c r="A1" s="46" t="s">
        <v>0</v>
      </c>
      <c r="B1" s="57" t="s">
        <v>16</v>
      </c>
      <c r="C1" s="57" t="s">
        <v>15</v>
      </c>
      <c r="D1" s="57" t="s">
        <v>17</v>
      </c>
      <c r="E1" s="57" t="s">
        <v>18</v>
      </c>
      <c r="F1" s="57" t="s">
        <v>3</v>
      </c>
    </row>
    <row r="2" spans="1:9" ht="15">
      <c r="A2" s="31" t="s">
        <v>65</v>
      </c>
      <c r="B2" s="38" t="s">
        <v>14</v>
      </c>
      <c r="C2" s="26" t="s">
        <v>66</v>
      </c>
      <c r="D2" s="12">
        <v>0.3</v>
      </c>
      <c r="E2" s="11"/>
      <c r="F2" s="11"/>
    </row>
    <row r="3" spans="1:9" ht="15">
      <c r="A3" s="41" t="s">
        <v>81</v>
      </c>
      <c r="B3" s="38" t="s">
        <v>14</v>
      </c>
      <c r="C3" s="40" t="s">
        <v>20</v>
      </c>
      <c r="D3" s="12">
        <v>0.1</v>
      </c>
      <c r="E3" s="11"/>
      <c r="F3" s="11"/>
    </row>
    <row r="4" spans="1:9" ht="15">
      <c r="A4" s="31" t="s">
        <v>88</v>
      </c>
      <c r="B4" s="38" t="s">
        <v>14</v>
      </c>
      <c r="C4" s="40" t="s">
        <v>20</v>
      </c>
      <c r="D4" s="12">
        <v>0.25</v>
      </c>
      <c r="E4" s="11"/>
      <c r="F4" s="11"/>
    </row>
    <row r="5" spans="1:9" ht="19.5" customHeight="1">
      <c r="A5" s="35" t="s">
        <v>89</v>
      </c>
      <c r="B5" s="38" t="s">
        <v>14</v>
      </c>
      <c r="C5" s="40" t="s">
        <v>20</v>
      </c>
      <c r="D5" s="12">
        <v>0.2</v>
      </c>
      <c r="E5" s="11"/>
      <c r="F5" s="11"/>
    </row>
    <row r="6" spans="1:9" ht="15">
      <c r="A6" s="41" t="s">
        <v>86</v>
      </c>
      <c r="B6" s="38" t="s">
        <v>14</v>
      </c>
      <c r="C6" s="40" t="s">
        <v>20</v>
      </c>
      <c r="D6" s="12">
        <v>0.15</v>
      </c>
      <c r="E6" s="11"/>
      <c r="F6" s="11"/>
    </row>
    <row r="7" spans="1:9" ht="15">
      <c r="A7" s="67" t="s">
        <v>19</v>
      </c>
      <c r="B7" s="67"/>
      <c r="C7" s="67"/>
      <c r="D7" s="49">
        <f>SUM(D2:D6)</f>
        <v>1</v>
      </c>
      <c r="E7" s="47"/>
      <c r="F7" s="48"/>
    </row>
    <row r="10" spans="1:9" ht="17.399999999999999">
      <c r="D10" s="50" t="s">
        <v>0</v>
      </c>
      <c r="E10" s="51" t="s">
        <v>1</v>
      </c>
      <c r="F10" s="51" t="s">
        <v>2</v>
      </c>
      <c r="G10" s="51" t="s">
        <v>21</v>
      </c>
      <c r="H10" s="51" t="s">
        <v>3</v>
      </c>
      <c r="I10" s="51" t="s">
        <v>4</v>
      </c>
    </row>
    <row r="11" spans="1:9" ht="18">
      <c r="D11" s="16">
        <v>1</v>
      </c>
      <c r="E11" s="15" t="s">
        <v>11</v>
      </c>
      <c r="F11" s="18">
        <v>0.3</v>
      </c>
      <c r="G11" s="19">
        <v>8</v>
      </c>
      <c r="H11" s="20">
        <f>(F11*G11)/10</f>
        <v>0.24</v>
      </c>
      <c r="I11" s="19"/>
    </row>
    <row r="12" spans="1:9" ht="18">
      <c r="D12" s="16">
        <v>2</v>
      </c>
      <c r="E12" s="15" t="s">
        <v>8</v>
      </c>
      <c r="F12" s="18">
        <v>0.15</v>
      </c>
      <c r="G12" s="19">
        <v>0</v>
      </c>
      <c r="H12" s="20">
        <f t="shared" ref="H12:H15" si="0">(F12*G12)/10</f>
        <v>0</v>
      </c>
      <c r="I12" s="19"/>
    </row>
    <row r="13" spans="1:9" ht="18">
      <c r="D13" s="16">
        <v>3</v>
      </c>
      <c r="E13" s="15" t="s">
        <v>35</v>
      </c>
      <c r="F13" s="18">
        <v>0.25</v>
      </c>
      <c r="G13" s="19">
        <v>7</v>
      </c>
      <c r="H13" s="20">
        <f t="shared" si="0"/>
        <v>0.17499999999999999</v>
      </c>
      <c r="I13" s="19"/>
    </row>
    <row r="14" spans="1:9" ht="18">
      <c r="D14" s="16">
        <v>4</v>
      </c>
      <c r="E14" s="15" t="s">
        <v>11</v>
      </c>
      <c r="F14" s="18">
        <v>0.2</v>
      </c>
      <c r="G14" s="19">
        <v>5</v>
      </c>
      <c r="H14" s="20">
        <f t="shared" si="0"/>
        <v>0.1</v>
      </c>
      <c r="I14" s="19"/>
    </row>
    <row r="15" spans="1:9" ht="18">
      <c r="D15" s="16">
        <v>5</v>
      </c>
      <c r="E15" s="15" t="s">
        <v>35</v>
      </c>
      <c r="F15" s="18">
        <v>0.1</v>
      </c>
      <c r="G15" s="19">
        <v>5</v>
      </c>
      <c r="H15" s="20">
        <f t="shared" si="0"/>
        <v>0.05</v>
      </c>
      <c r="I15" s="19"/>
    </row>
    <row r="16" spans="1:9">
      <c r="D16" s="58" t="s">
        <v>19</v>
      </c>
      <c r="E16" s="58"/>
      <c r="F16" s="59">
        <f>SUM(F11:F15)</f>
        <v>0.99999999999999989</v>
      </c>
      <c r="G16" s="58">
        <f>SUM(G11:G15)</f>
        <v>25</v>
      </c>
      <c r="H16" s="60">
        <f>SUM(H11:H15)</f>
        <v>0.56500000000000006</v>
      </c>
      <c r="I16" s="58"/>
    </row>
    <row r="17" spans="8:8">
      <c r="H17" s="22" t="s">
        <v>27</v>
      </c>
    </row>
  </sheetData>
  <pageMargins left="0.7" right="0.7" top="0.75" bottom="0.75" header="0.3" footer="0.3"/>
  <pageSetup orientation="portrait" r:id="rId1"/>
  <headerFooter>
    <oddFooter>&amp;C_x000D_&amp;1#&amp;"Calibri"&amp;10&amp;KDBD800 Classification: Restricted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A15" sqref="A15"/>
    </sheetView>
  </sheetViews>
  <sheetFormatPr defaultColWidth="9.09765625" defaultRowHeight="13.8"/>
  <cols>
    <col min="1" max="1" width="212.3984375" style="13" bestFit="1" customWidth="1"/>
    <col min="2" max="2" width="55.69921875" style="13" bestFit="1" customWidth="1"/>
    <col min="3" max="3" width="11" style="13" bestFit="1" customWidth="1"/>
    <col min="4" max="4" width="13.296875" style="13" bestFit="1" customWidth="1"/>
    <col min="5" max="5" width="13.8984375" style="13" bestFit="1" customWidth="1"/>
    <col min="6" max="6" width="14.59765625" style="13" bestFit="1" customWidth="1"/>
    <col min="7" max="7" width="21.69921875" style="13" bestFit="1" customWidth="1"/>
    <col min="8" max="16384" width="9.09765625" style="13"/>
  </cols>
  <sheetData>
    <row r="1" spans="1:7" ht="15.6">
      <c r="A1" s="46" t="s">
        <v>0</v>
      </c>
      <c r="B1" s="46" t="s">
        <v>16</v>
      </c>
      <c r="C1" s="46" t="s">
        <v>15</v>
      </c>
      <c r="D1" s="46" t="s">
        <v>17</v>
      </c>
      <c r="E1" s="46" t="s">
        <v>18</v>
      </c>
      <c r="F1" s="46" t="s">
        <v>26</v>
      </c>
    </row>
    <row r="2" spans="1:7" ht="15">
      <c r="A2" s="31" t="s">
        <v>64</v>
      </c>
      <c r="B2" s="26" t="s">
        <v>66</v>
      </c>
      <c r="C2" s="43"/>
      <c r="D2" s="12">
        <v>0.3</v>
      </c>
      <c r="E2" s="12">
        <v>0.18</v>
      </c>
      <c r="F2" s="45"/>
    </row>
    <row r="3" spans="1:7" ht="15">
      <c r="A3" s="42" t="s">
        <v>81</v>
      </c>
      <c r="B3" s="38" t="s">
        <v>14</v>
      </c>
      <c r="C3" s="33"/>
      <c r="D3" s="12">
        <v>0.1</v>
      </c>
      <c r="E3" s="12">
        <v>0</v>
      </c>
      <c r="F3" s="45" t="s">
        <v>27</v>
      </c>
    </row>
    <row r="4" spans="1:7" ht="16.8">
      <c r="A4" s="56" t="s">
        <v>97</v>
      </c>
      <c r="B4" s="38" t="s">
        <v>14</v>
      </c>
      <c r="C4" s="43"/>
      <c r="D4" s="12">
        <v>0.25</v>
      </c>
      <c r="E4" s="12">
        <v>0.1</v>
      </c>
      <c r="F4" s="45"/>
    </row>
    <row r="5" spans="1:7" ht="15">
      <c r="A5" s="31" t="s">
        <v>98</v>
      </c>
      <c r="B5" s="38" t="s">
        <v>14</v>
      </c>
      <c r="C5" s="43"/>
      <c r="D5" s="12">
        <v>0.2</v>
      </c>
      <c r="E5" s="12">
        <v>0.05</v>
      </c>
      <c r="F5" s="45"/>
    </row>
    <row r="6" spans="1:7" ht="15">
      <c r="A6" s="42" t="s">
        <v>86</v>
      </c>
      <c r="B6" s="38" t="s">
        <v>14</v>
      </c>
      <c r="C6" s="43"/>
      <c r="D6" s="12">
        <v>0.15</v>
      </c>
      <c r="E6" s="12">
        <v>0.1</v>
      </c>
      <c r="F6" s="45"/>
    </row>
    <row r="7" spans="1:7" ht="15">
      <c r="A7" s="47" t="s">
        <v>19</v>
      </c>
      <c r="B7" s="48"/>
      <c r="C7" s="48"/>
      <c r="D7" s="49">
        <f>SUM(D2:D6)</f>
        <v>1</v>
      </c>
      <c r="E7" s="49">
        <f>SUM(E3:E6)</f>
        <v>0.25</v>
      </c>
      <c r="F7" s="49"/>
    </row>
    <row r="8" spans="1:7" ht="15">
      <c r="A8" s="27"/>
    </row>
    <row r="11" spans="1:7" ht="17.399999999999999">
      <c r="B11" s="50" t="s">
        <v>0</v>
      </c>
      <c r="C11" s="51" t="s">
        <v>1</v>
      </c>
      <c r="D11" s="51" t="s">
        <v>2</v>
      </c>
      <c r="E11" s="51" t="s">
        <v>21</v>
      </c>
      <c r="F11" s="51" t="s">
        <v>3</v>
      </c>
      <c r="G11" s="51" t="s">
        <v>4</v>
      </c>
    </row>
    <row r="12" spans="1:7" ht="18">
      <c r="B12" s="16" t="s">
        <v>13</v>
      </c>
      <c r="C12" s="17">
        <v>1000000</v>
      </c>
      <c r="D12" s="18">
        <v>0.25</v>
      </c>
      <c r="E12" s="19">
        <v>8</v>
      </c>
      <c r="F12" s="20">
        <f>(D12*E12)/10</f>
        <v>0.2</v>
      </c>
      <c r="G12" s="19" t="s">
        <v>7</v>
      </c>
    </row>
    <row r="13" spans="1:7" ht="18">
      <c r="B13" s="16" t="s">
        <v>29</v>
      </c>
      <c r="C13" s="19">
        <v>10</v>
      </c>
      <c r="D13" s="18">
        <v>0.2</v>
      </c>
      <c r="E13" s="19">
        <v>8</v>
      </c>
      <c r="F13" s="20">
        <f t="shared" ref="F13:F16" si="0">(D13*E13)/10</f>
        <v>0.16</v>
      </c>
      <c r="G13" s="19" t="s">
        <v>25</v>
      </c>
    </row>
    <row r="14" spans="1:7" ht="18">
      <c r="B14" s="16" t="s">
        <v>28</v>
      </c>
      <c r="C14" s="19" t="s">
        <v>8</v>
      </c>
      <c r="D14" s="18">
        <v>0.2</v>
      </c>
      <c r="E14" s="19">
        <v>0</v>
      </c>
      <c r="F14" s="20">
        <f t="shared" si="0"/>
        <v>0</v>
      </c>
      <c r="G14" s="19" t="s">
        <v>9</v>
      </c>
    </row>
    <row r="15" spans="1:7" ht="18">
      <c r="B15" s="16" t="s">
        <v>30</v>
      </c>
      <c r="C15" s="19" t="s">
        <v>5</v>
      </c>
      <c r="D15" s="18">
        <v>0.15</v>
      </c>
      <c r="E15" s="19">
        <v>8</v>
      </c>
      <c r="F15" s="20">
        <f t="shared" si="0"/>
        <v>0.12</v>
      </c>
      <c r="G15" s="19" t="s">
        <v>12</v>
      </c>
    </row>
    <row r="16" spans="1:7" ht="18">
      <c r="B16" s="16" t="s">
        <v>31</v>
      </c>
      <c r="C16" s="15">
        <v>5</v>
      </c>
      <c r="D16" s="18">
        <v>0.2</v>
      </c>
      <c r="E16" s="15">
        <v>7</v>
      </c>
      <c r="F16" s="20">
        <f t="shared" si="0"/>
        <v>0.14000000000000001</v>
      </c>
      <c r="G16" s="15"/>
    </row>
    <row r="17" spans="2:7">
      <c r="B17" s="52" t="s">
        <v>19</v>
      </c>
      <c r="C17" s="52"/>
      <c r="D17" s="53">
        <f>SUM(D12:D16)</f>
        <v>1</v>
      </c>
      <c r="E17" s="54">
        <f>SUM(E12:E16)</f>
        <v>31</v>
      </c>
      <c r="F17" s="55">
        <f>SUM(F12:F16)</f>
        <v>0.62</v>
      </c>
      <c r="G17" s="52"/>
    </row>
    <row r="18" spans="2:7">
      <c r="F18" s="22" t="s">
        <v>27</v>
      </c>
    </row>
  </sheetData>
  <pageMargins left="0.7" right="0.7" top="0.75" bottom="0.75" header="0.3" footer="0.3"/>
  <pageSetup orientation="portrait" r:id="rId1"/>
  <headerFooter>
    <oddFooter>&amp;C_x000D_&amp;1#&amp;"Calibri"&amp;10&amp;KDBD800 Classification: Restricted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opLeftCell="B1" workbookViewId="0">
      <selection activeCell="F10" sqref="F10"/>
    </sheetView>
  </sheetViews>
  <sheetFormatPr defaultRowHeight="13.8"/>
  <cols>
    <col min="1" max="1" width="31.296875" bestFit="1" customWidth="1"/>
    <col min="4" max="4" width="6.3984375" bestFit="1" customWidth="1"/>
    <col min="5" max="5" width="13.09765625" bestFit="1" customWidth="1"/>
    <col min="6" max="6" width="139.296875" bestFit="1" customWidth="1"/>
  </cols>
  <sheetData>
    <row r="1" spans="1:9">
      <c r="A1" s="83" t="s">
        <v>0</v>
      </c>
      <c r="B1" s="83" t="s">
        <v>68</v>
      </c>
      <c r="C1" s="83" t="s">
        <v>69</v>
      </c>
      <c r="D1" s="83" t="s">
        <v>70</v>
      </c>
      <c r="E1" s="83" t="s">
        <v>71</v>
      </c>
      <c r="F1" s="83" t="s">
        <v>72</v>
      </c>
      <c r="G1" s="83" t="s">
        <v>73</v>
      </c>
      <c r="H1" s="83" t="s">
        <v>74</v>
      </c>
      <c r="I1" s="83" t="s">
        <v>75</v>
      </c>
    </row>
    <row r="2" spans="1:9">
      <c r="A2" s="82" t="s">
        <v>76</v>
      </c>
      <c r="B2" s="80">
        <v>0</v>
      </c>
      <c r="C2" s="82" t="s">
        <v>77</v>
      </c>
      <c r="D2" s="79">
        <v>30</v>
      </c>
      <c r="E2" s="78">
        <v>1</v>
      </c>
      <c r="F2" s="77" t="s">
        <v>61</v>
      </c>
      <c r="G2" s="77" t="s">
        <v>78</v>
      </c>
      <c r="H2" s="82" t="s">
        <v>79</v>
      </c>
      <c r="I2" s="82" t="s">
        <v>79</v>
      </c>
    </row>
    <row r="3" spans="1:9">
      <c r="A3" s="82" t="s">
        <v>80</v>
      </c>
      <c r="B3" s="80">
        <v>0</v>
      </c>
      <c r="C3" s="82" t="s">
        <v>77</v>
      </c>
      <c r="D3" s="79">
        <v>10</v>
      </c>
      <c r="E3" s="81"/>
      <c r="F3" s="77" t="s">
        <v>81</v>
      </c>
      <c r="G3" s="77" t="s">
        <v>78</v>
      </c>
      <c r="H3" s="82" t="s">
        <v>79</v>
      </c>
      <c r="I3" s="82" t="s">
        <v>79</v>
      </c>
    </row>
    <row r="4" spans="1:9">
      <c r="A4" s="82" t="s">
        <v>82</v>
      </c>
      <c r="B4" s="80">
        <v>0</v>
      </c>
      <c r="C4" s="82" t="s">
        <v>77</v>
      </c>
      <c r="D4" s="79">
        <v>15</v>
      </c>
      <c r="E4" s="81"/>
      <c r="F4" s="77" t="s">
        <v>62</v>
      </c>
      <c r="G4" s="77" t="s">
        <v>78</v>
      </c>
      <c r="H4" s="82" t="s">
        <v>79</v>
      </c>
      <c r="I4" s="82" t="s">
        <v>79</v>
      </c>
    </row>
    <row r="5" spans="1:9">
      <c r="A5" s="82" t="s">
        <v>83</v>
      </c>
      <c r="B5" s="80">
        <v>0</v>
      </c>
      <c r="C5" s="82" t="s">
        <v>77</v>
      </c>
      <c r="D5" s="79">
        <v>15</v>
      </c>
      <c r="E5" s="81"/>
      <c r="F5" s="77" t="s">
        <v>84</v>
      </c>
      <c r="G5" s="77" t="s">
        <v>78</v>
      </c>
      <c r="H5" s="82" t="s">
        <v>79</v>
      </c>
      <c r="I5" s="82" t="s">
        <v>79</v>
      </c>
    </row>
    <row r="6" spans="1:9">
      <c r="A6" s="82" t="s">
        <v>85</v>
      </c>
      <c r="B6" s="80">
        <v>0</v>
      </c>
      <c r="C6" s="82" t="s">
        <v>77</v>
      </c>
      <c r="D6" s="79">
        <v>15</v>
      </c>
      <c r="E6" s="81"/>
      <c r="F6" s="77" t="s">
        <v>86</v>
      </c>
      <c r="G6" s="77" t="s">
        <v>78</v>
      </c>
      <c r="H6" s="82" t="s">
        <v>79</v>
      </c>
      <c r="I6" s="82" t="s">
        <v>79</v>
      </c>
    </row>
    <row r="7" spans="1:9">
      <c r="A7" s="82" t="s">
        <v>87</v>
      </c>
      <c r="B7" s="80">
        <v>0</v>
      </c>
      <c r="C7" s="82" t="s">
        <v>77</v>
      </c>
      <c r="D7" s="79">
        <v>15</v>
      </c>
      <c r="E7" s="81"/>
      <c r="F7" s="77" t="s">
        <v>91</v>
      </c>
      <c r="G7" s="77" t="s">
        <v>78</v>
      </c>
      <c r="H7" s="82" t="s">
        <v>79</v>
      </c>
      <c r="I7" s="82" t="s">
        <v>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selection activeCell="J9" sqref="J9"/>
    </sheetView>
  </sheetViews>
  <sheetFormatPr defaultRowHeight="13.8"/>
  <cols>
    <col min="1" max="1" width="36" bestFit="1" customWidth="1"/>
    <col min="2" max="2" width="8.296875" bestFit="1" customWidth="1"/>
    <col min="3" max="5" width="5.69921875" bestFit="1" customWidth="1"/>
    <col min="6" max="6" width="5.69921875" customWidth="1"/>
    <col min="7" max="7" width="4.3984375" bestFit="1" customWidth="1"/>
    <col min="8" max="9" width="5.69921875" bestFit="1" customWidth="1"/>
    <col min="10" max="10" width="4.3984375" bestFit="1" customWidth="1"/>
    <col min="11" max="11" width="5.69921875" bestFit="1" customWidth="1"/>
  </cols>
  <sheetData>
    <row r="1" spans="1:12" ht="123" thickBot="1">
      <c r="A1" s="70" t="s">
        <v>41</v>
      </c>
      <c r="B1" s="71" t="s">
        <v>42</v>
      </c>
      <c r="C1" s="70" t="s">
        <v>43</v>
      </c>
      <c r="D1" s="71" t="s">
        <v>44</v>
      </c>
      <c r="E1" s="71" t="s">
        <v>58</v>
      </c>
      <c r="F1" s="71" t="s">
        <v>60</v>
      </c>
      <c r="G1" s="71" t="s">
        <v>45</v>
      </c>
      <c r="H1" s="71" t="s">
        <v>46</v>
      </c>
      <c r="I1" s="71" t="s">
        <v>47</v>
      </c>
      <c r="J1" s="71" t="s">
        <v>48</v>
      </c>
      <c r="K1" s="72" t="s">
        <v>59</v>
      </c>
      <c r="L1" s="73" t="s">
        <v>24</v>
      </c>
    </row>
    <row r="2" spans="1:12" ht="15.6" thickBot="1">
      <c r="A2" s="30" t="s">
        <v>49</v>
      </c>
      <c r="B2" s="30">
        <v>0.2</v>
      </c>
      <c r="C2" s="30">
        <v>0.25</v>
      </c>
      <c r="D2" s="30"/>
      <c r="E2" s="30">
        <v>0.15</v>
      </c>
      <c r="F2" s="30"/>
      <c r="G2" s="30"/>
      <c r="H2" s="30"/>
      <c r="I2" s="30">
        <v>0.1</v>
      </c>
      <c r="J2" s="30"/>
      <c r="K2" s="30">
        <v>0.2</v>
      </c>
      <c r="L2" s="30">
        <v>0.1</v>
      </c>
    </row>
    <row r="3" spans="1:12" ht="15.6" thickBot="1">
      <c r="A3" s="30" t="s">
        <v>50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2" ht="15.6" thickBot="1">
      <c r="A4" s="30" t="s">
        <v>51</v>
      </c>
      <c r="B4" s="30">
        <v>0.2</v>
      </c>
      <c r="C4" s="30">
        <v>0.25</v>
      </c>
      <c r="D4" s="30">
        <v>0.1</v>
      </c>
      <c r="E4" s="30">
        <v>0.15</v>
      </c>
      <c r="F4" s="30">
        <v>0.15</v>
      </c>
      <c r="G4" s="30"/>
      <c r="H4" s="30"/>
      <c r="I4" s="30"/>
      <c r="J4" s="30"/>
      <c r="K4" s="30">
        <v>0.15</v>
      </c>
      <c r="L4" s="30"/>
    </row>
    <row r="5" spans="1:12" ht="15.6" thickBot="1">
      <c r="A5" s="30" t="s">
        <v>52</v>
      </c>
      <c r="B5" s="30">
        <v>0.1</v>
      </c>
      <c r="C5" s="30">
        <v>0.25</v>
      </c>
      <c r="D5" s="30">
        <v>0.1</v>
      </c>
      <c r="E5" s="30">
        <v>0.15</v>
      </c>
      <c r="F5" s="30">
        <v>0.15</v>
      </c>
      <c r="G5" s="30"/>
      <c r="H5" s="30">
        <v>0.1</v>
      </c>
      <c r="I5" s="30"/>
      <c r="J5" s="30"/>
      <c r="K5" s="30">
        <v>0.15</v>
      </c>
      <c r="L5" s="30"/>
    </row>
    <row r="6" spans="1:12" ht="15.6" thickBot="1">
      <c r="A6" s="30" t="s">
        <v>54</v>
      </c>
      <c r="B6" s="30">
        <v>0.35</v>
      </c>
      <c r="C6" s="30">
        <v>0.3</v>
      </c>
      <c r="D6" s="30">
        <v>0.35</v>
      </c>
      <c r="E6" s="30"/>
      <c r="F6" s="30"/>
      <c r="G6" s="30"/>
      <c r="H6" s="30"/>
      <c r="I6" s="30"/>
      <c r="J6" s="30"/>
      <c r="K6" s="30"/>
      <c r="L6" s="30"/>
    </row>
    <row r="7" spans="1:12" ht="15.6" thickBot="1">
      <c r="A7" s="30" t="s">
        <v>55</v>
      </c>
      <c r="B7" s="30">
        <v>0.5</v>
      </c>
      <c r="C7" s="30">
        <v>0.25</v>
      </c>
      <c r="D7" s="30"/>
      <c r="E7" s="30"/>
      <c r="F7" s="30"/>
      <c r="G7" s="30"/>
      <c r="H7" s="30"/>
      <c r="I7" s="30"/>
      <c r="J7" s="30"/>
      <c r="K7" s="30">
        <v>0.25</v>
      </c>
      <c r="L7" s="30"/>
    </row>
    <row r="8" spans="1:12" ht="15.6" thickBot="1">
      <c r="A8" s="30" t="s">
        <v>53</v>
      </c>
      <c r="B8" s="30">
        <v>0.25</v>
      </c>
      <c r="C8" s="30">
        <v>0.3</v>
      </c>
      <c r="D8" s="30">
        <v>0.25</v>
      </c>
      <c r="E8" s="30">
        <v>0.2</v>
      </c>
      <c r="F8" s="30"/>
      <c r="G8" s="30"/>
      <c r="H8" s="30"/>
      <c r="I8" s="30"/>
      <c r="J8" s="30"/>
      <c r="K8" s="30"/>
      <c r="L8" s="30"/>
    </row>
    <row r="9" spans="1:12" ht="15.6" thickBot="1">
      <c r="A9" s="30" t="s">
        <v>56</v>
      </c>
      <c r="B9" s="30">
        <v>0.35</v>
      </c>
      <c r="C9" s="30">
        <v>0.25</v>
      </c>
      <c r="D9" s="30"/>
      <c r="E9" s="30">
        <v>0.15</v>
      </c>
      <c r="F9" s="30">
        <v>0.15</v>
      </c>
      <c r="G9" s="30"/>
      <c r="H9" s="30"/>
      <c r="I9" s="30"/>
      <c r="J9" s="30"/>
      <c r="K9" s="30">
        <v>0.1</v>
      </c>
      <c r="L9" s="30"/>
    </row>
    <row r="10" spans="1:12" ht="15.6" thickBot="1">
      <c r="A10" s="30" t="s">
        <v>57</v>
      </c>
      <c r="B10" s="30">
        <v>0.4</v>
      </c>
      <c r="C10" s="30">
        <v>0.2</v>
      </c>
      <c r="D10" s="30">
        <v>0.1</v>
      </c>
      <c r="E10" s="30">
        <v>0.2</v>
      </c>
      <c r="F10" s="30"/>
      <c r="G10" s="30"/>
      <c r="H10" s="30">
        <v>0.1</v>
      </c>
      <c r="I10" s="30"/>
      <c r="J10" s="30"/>
      <c r="K10" s="30"/>
      <c r="L10" s="30"/>
    </row>
  </sheetData>
  <pageMargins left="0.7" right="0.7" top="0.75" bottom="0.75" header="0.3" footer="0.3"/>
  <pageSetup orientation="portrait" r:id="rId1"/>
  <headerFooter>
    <oddFooter>&amp;C_x000D_&amp;1#&amp;"Calibri"&amp;10&amp;KDBD800 Classification: Restricted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E6" sqref="E6"/>
    </sheetView>
  </sheetViews>
  <sheetFormatPr defaultRowHeight="13.8"/>
  <cols>
    <col min="1" max="1" width="33.69921875" bestFit="1" customWidth="1"/>
    <col min="2" max="2" width="10.8984375" bestFit="1" customWidth="1"/>
    <col min="3" max="3" width="12.59765625" bestFit="1" customWidth="1"/>
    <col min="4" max="4" width="11" bestFit="1" customWidth="1"/>
    <col min="5" max="5" width="14.59765625" bestFit="1" customWidth="1"/>
    <col min="6" max="6" width="21.09765625" bestFit="1" customWidth="1"/>
  </cols>
  <sheetData>
    <row r="1" spans="1:6" ht="17.399999999999999">
      <c r="A1" s="5" t="s">
        <v>0</v>
      </c>
      <c r="B1" s="6" t="s">
        <v>1</v>
      </c>
      <c r="C1" s="6" t="s">
        <v>2</v>
      </c>
      <c r="D1" s="6" t="s">
        <v>21</v>
      </c>
      <c r="E1" s="6" t="s">
        <v>3</v>
      </c>
      <c r="F1" s="6" t="s">
        <v>4</v>
      </c>
    </row>
    <row r="2" spans="1:6" ht="18">
      <c r="A2" s="1" t="s">
        <v>22</v>
      </c>
      <c r="B2" s="2" t="s">
        <v>5</v>
      </c>
      <c r="C2" s="3">
        <v>0.1</v>
      </c>
      <c r="D2" s="2">
        <v>5</v>
      </c>
      <c r="E2" s="2">
        <v>0.5</v>
      </c>
      <c r="F2" s="2" t="s">
        <v>6</v>
      </c>
    </row>
    <row r="3" spans="1:6" ht="18">
      <c r="A3" s="1" t="s">
        <v>13</v>
      </c>
      <c r="B3" s="4">
        <v>1000000</v>
      </c>
      <c r="C3" s="3">
        <v>0.15</v>
      </c>
      <c r="D3" s="2">
        <v>4</v>
      </c>
      <c r="E3" s="2">
        <v>0.6</v>
      </c>
      <c r="F3" s="2" t="s">
        <v>7</v>
      </c>
    </row>
    <row r="4" spans="1:6" ht="18">
      <c r="A4" s="1" t="s">
        <v>23</v>
      </c>
      <c r="B4" s="2">
        <v>10</v>
      </c>
      <c r="C4" s="3">
        <v>0.1</v>
      </c>
      <c r="D4" s="2">
        <v>5</v>
      </c>
      <c r="E4" s="2">
        <v>0.5</v>
      </c>
      <c r="F4" s="2" t="s">
        <v>25</v>
      </c>
    </row>
    <row r="5" spans="1:6" ht="18">
      <c r="A5" s="1" t="s">
        <v>24</v>
      </c>
      <c r="B5" s="2" t="s">
        <v>8</v>
      </c>
      <c r="C5" s="3">
        <v>0.05</v>
      </c>
      <c r="D5" s="2">
        <v>2</v>
      </c>
      <c r="E5" s="2">
        <v>0.1</v>
      </c>
      <c r="F5" s="2" t="s">
        <v>9</v>
      </c>
    </row>
    <row r="6" spans="1:6" ht="18">
      <c r="A6" s="1" t="s">
        <v>10</v>
      </c>
      <c r="B6" s="2" t="s">
        <v>11</v>
      </c>
      <c r="C6" s="3">
        <v>0.2</v>
      </c>
      <c r="D6" s="2">
        <v>4</v>
      </c>
      <c r="E6" s="2">
        <v>0.8</v>
      </c>
      <c r="F6" s="2" t="s">
        <v>12</v>
      </c>
    </row>
  </sheetData>
  <pageMargins left="0.7" right="0.7" top="0.75" bottom="0.75" header="0.3" footer="0.3"/>
  <headerFooter>
    <oddFooter>&amp;C_x000D_&amp;1#&amp;"Calibri"&amp;10&amp;KDBD800 Classification: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Materials Supplier</vt:lpstr>
      <vt:lpstr>Services Provider</vt:lpstr>
      <vt:lpstr>Project</vt:lpstr>
      <vt:lpstr>Training</vt:lpstr>
      <vt:lpstr>SME</vt:lpstr>
      <vt:lpstr>Manufacturer </vt:lpstr>
      <vt:lpstr>Consultant</vt:lpstr>
      <vt:lpstr>IT and Software Service</vt:lpstr>
      <vt:lpstr>Serv and Mate provider</vt:lpstr>
      <vt:lpstr>Scores Each Types</vt:lpstr>
      <vt:lpstr>Sample 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Emad Almahdi</dc:creator>
  <cp:lastModifiedBy>ALRWOAD LAPTOP</cp:lastModifiedBy>
  <dcterms:created xsi:type="dcterms:W3CDTF">2024-12-05T07:13:04Z</dcterms:created>
  <dcterms:modified xsi:type="dcterms:W3CDTF">2026-03-04T23:22:22Z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ff828bb-581d-4d28-b3c8-546cd846d36b_Enabled">
    <vt:lpwstr>true</vt:lpwstr>
  </property>
  <property fmtid="{D5CDD505-2E9C-101B-9397-08002B2CF9AE}" pid="3" name="MSIP_Label_dff828bb-581d-4d28-b3c8-546cd846d36b_SetDate">
    <vt:lpwstr>2025-07-24T06:39:22Z</vt:lpwstr>
  </property>
  <property fmtid="{D5CDD505-2E9C-101B-9397-08002B2CF9AE}" pid="4" name="MSIP_Label_dff828bb-581d-4d28-b3c8-546cd846d36b_Method">
    <vt:lpwstr>Standard</vt:lpwstr>
  </property>
  <property fmtid="{D5CDD505-2E9C-101B-9397-08002B2CF9AE}" pid="5" name="MSIP_Label_dff828bb-581d-4d28-b3c8-546cd846d36b_Name">
    <vt:lpwstr>Restricted</vt:lpwstr>
  </property>
  <property fmtid="{D5CDD505-2E9C-101B-9397-08002B2CF9AE}" pid="6" name="MSIP_Label_dff828bb-581d-4d28-b3c8-546cd846d36b_SiteId">
    <vt:lpwstr>bfe67e2e-bec6-4055-9aac-7cf4b793e890</vt:lpwstr>
  </property>
  <property fmtid="{D5CDD505-2E9C-101B-9397-08002B2CF9AE}" pid="7" name="MSIP_Label_dff828bb-581d-4d28-b3c8-546cd846d36b_ActionId">
    <vt:lpwstr>86d52225-36eb-48d6-bb8b-57658d938562</vt:lpwstr>
  </property>
  <property fmtid="{D5CDD505-2E9C-101B-9397-08002B2CF9AE}" pid="8" name="MSIP_Label_dff828bb-581d-4d28-b3c8-546cd846d36b_ContentBits">
    <vt:lpwstr>2</vt:lpwstr>
  </property>
  <property fmtid="{D5CDD505-2E9C-101B-9397-08002B2CF9AE}" pid="9" name="MSIP_Label_dff828bb-581d-4d28-b3c8-546cd846d36b_Tag">
    <vt:lpwstr>10, 3, 0, 1</vt:lpwstr>
  </property>
</Properties>
</file>